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523F5E74-605F-4E52-9BA1-CF8CC8472563}" xr6:coauthVersionLast="47" xr6:coauthVersionMax="47" xr10:uidLastSave="{00000000-0000-0000-0000-000000000000}"/>
  <bookViews>
    <workbookView xWindow="0" yWindow="0" windowWidth="0" windowHeight="0" firstSheet="5" activeTab="5" xr2:uid="{00000000-000D-0000-FFFF-FFFF00000000}"/>
  </bookViews>
  <sheets>
    <sheet name="Ventes_2025" sheetId="6" r:id="rId1"/>
    <sheet name="Ventes_2025 (2)" sheetId="4" r:id="rId2"/>
    <sheet name="Dictionnaire" sheetId="2" r:id="rId3"/>
    <sheet name="Journal_nettoyage" sheetId="3" r:id="rId4"/>
    <sheet name="Position" sheetId="5" r:id="rId5"/>
    <sheet name="Dispersion" sheetId="7" r:id="rId6"/>
    <sheet name="Conclusion" sheetId="8" r:id="rId7"/>
  </sheets>
  <definedNames>
    <definedName name="_xlnm._FilterDatabase" localSheetId="2" hidden="1">Dictionnaire!$A$1:$D$14</definedName>
    <definedName name="_xlnm._FilterDatabase" localSheetId="3" hidden="1">Journal_nettoyage!$A$1:$D$12</definedName>
    <definedName name="_xlnm._FilterDatabase" localSheetId="1" hidden="1">#REF!</definedName>
    <definedName name="T_Ventes">'Ventes_2025 (2)'!$A$2:$M$614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 i="7" l="1"/>
  <c r="C61" i="7" a="1"/>
  <c r="C61" i="7"/>
  <c r="B62" i="7"/>
  <c r="C63" i="7" a="1"/>
  <c r="C63" i="7"/>
  <c r="C60" i="7"/>
  <c r="K91" i="7"/>
  <c r="K93" i="7"/>
  <c r="K92" i="7"/>
  <c r="C80" i="7"/>
  <c r="A76" i="7" a="1"/>
  <c r="A76" i="7"/>
  <c r="M76" i="7" s="1"/>
  <c r="C76" i="7"/>
  <c r="G80" i="7"/>
  <c r="C83" i="7"/>
  <c r="C82" i="7"/>
  <c r="C81" i="7"/>
  <c r="C79" i="7"/>
  <c r="C78" i="7"/>
  <c r="C77" i="7"/>
  <c r="B83" i="7"/>
  <c r="B82" i="7"/>
  <c r="B81" i="7"/>
  <c r="B80" i="7"/>
  <c r="B79" i="7"/>
  <c r="B78" i="7"/>
  <c r="B77" i="7"/>
  <c r="B76" i="7"/>
  <c r="H84" i="7" s="1"/>
  <c r="C58" i="5"/>
  <c r="B41" i="7"/>
  <c r="C24" i="7"/>
  <c r="B45" i="7"/>
  <c r="B44" i="7"/>
  <c r="B43" i="7"/>
  <c r="B42" i="7"/>
  <c r="C27" i="7"/>
  <c r="C25" i="7"/>
  <c r="B61" i="7" s="1"/>
  <c r="C26" i="7"/>
  <c r="C23" i="7"/>
  <c r="C22" i="7"/>
  <c r="B28" i="7"/>
  <c r="B11" i="7"/>
  <c r="B7" i="7"/>
  <c r="B74" i="5"/>
  <c r="B9" i="7"/>
  <c r="B8" i="7"/>
  <c r="B6" i="7"/>
  <c r="B5" i="7"/>
  <c r="A107" i="5"/>
  <c r="B95" i="5"/>
  <c r="B75" i="5"/>
  <c r="D62" i="5"/>
  <c r="D61" i="5"/>
  <c r="D60" i="5"/>
  <c r="D59" i="5"/>
  <c r="D58" i="5"/>
  <c r="D63" i="5" s="1"/>
  <c r="C62" i="5"/>
  <c r="C61" i="5"/>
  <c r="C60" i="5"/>
  <c r="C59" i="5"/>
  <c r="C63" i="5" s="1"/>
  <c r="B59" i="5"/>
  <c r="B58" i="5"/>
  <c r="B62" i="5"/>
  <c r="B61" i="5"/>
  <c r="B60" i="5"/>
  <c r="B46" i="5"/>
  <c r="B48" i="5"/>
  <c r="B47" i="5"/>
  <c r="B36" i="5"/>
  <c r="B38" i="5"/>
  <c r="B37" i="5"/>
  <c r="B26" i="5"/>
  <c r="D28" i="5"/>
  <c r="C28" i="5"/>
  <c r="D27" i="5"/>
  <c r="C27" i="5"/>
  <c r="D26" i="5"/>
  <c r="C26" i="5"/>
  <c r="B28" i="5"/>
  <c r="B27" i="5"/>
  <c r="P4" i="4" a="1"/>
  <c r="P4" i="4"/>
  <c r="P10" i="4"/>
  <c r="P13" i="4"/>
  <c r="P12" i="4"/>
  <c r="P14" i="4"/>
  <c r="D61" i="7" l="1"/>
  <c r="D62" i="7"/>
  <c r="M77" i="7"/>
  <c r="M78" i="7"/>
  <c r="M79" i="7"/>
  <c r="M80" i="7"/>
  <c r="M81" i="7"/>
  <c r="M82" i="7"/>
  <c r="M83" i="7"/>
  <c r="C28" i="7"/>
  <c r="B63" i="7" s="1"/>
  <c r="D63" i="7" s="1"/>
  <c r="B63" i="5"/>
  <c r="B68" i="5" s="1"/>
  <c r="D68" i="5"/>
  <c r="D50" i="5"/>
  <c r="C36" i="7" l="1"/>
  <c r="C39" i="7" s="1"/>
  <c r="C37" i="7"/>
  <c r="C38"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<sst xmlns="http://schemas.openxmlformats.org/spreadsheetml/2006/main" count="8921" uniqueCount="887">
  <si>
    <t>ID_commande</t>
  </si>
  <si>
    <t>Date_commande</t>
  </si>
  <si>
    <t>Magasin</t>
  </si>
  <si>
    <t>Departement</t>
  </si>
  <si>
    <t>Categorie</t>
  </si>
  <si>
    <t>Produit</t>
  </si>
  <si>
    <t>Canal</t>
  </si>
  <si>
    <t>Quantite</t>
  </si>
  <si>
    <t>Prix_unitaire_TTC</t>
  </si>
  <si>
    <t>Remise</t>
  </si>
  <si>
    <t>Montant_TTC</t>
  </si>
  <si>
    <t>Statut</t>
  </si>
  <si>
    <t>Note_client</t>
  </si>
  <si>
    <t>CMD-20250605</t>
  </si>
  <si>
    <t>Lille</t>
  </si>
  <si>
    <t>Nord</t>
  </si>
  <si>
    <t>Atelier</t>
  </si>
  <si>
    <t>Changement chambre à air</t>
  </si>
  <si>
    <t>En cours</t>
  </si>
  <si>
    <t>CMD-20250470</t>
  </si>
  <si>
    <t>Accessoires</t>
  </si>
  <si>
    <t>Sacoche étanche</t>
  </si>
  <si>
    <t>Site web</t>
  </si>
  <si>
    <t>Livrée</t>
  </si>
  <si>
    <t>CMD-20250368</t>
  </si>
  <si>
    <t>Dunkerque</t>
  </si>
  <si>
    <t>Vélo urbain</t>
  </si>
  <si>
    <t>City Pliant</t>
  </si>
  <si>
    <t>CMD-20250142</t>
  </si>
  <si>
    <t>City Classic</t>
  </si>
  <si>
    <t>CMD-20250009</t>
  </si>
  <si>
    <t>Valenciennes</t>
  </si>
  <si>
    <t>Révision complète</t>
  </si>
  <si>
    <t>CMD-20250410</t>
  </si>
  <si>
    <t>Arras</t>
  </si>
  <si>
    <t>Pas-de-Calais</t>
  </si>
  <si>
    <t>CMD-20250242</t>
  </si>
  <si>
    <t>Click &amp; Collect</t>
  </si>
  <si>
    <t>Annulée</t>
  </si>
  <si>
    <t>CMD-20250575</t>
  </si>
  <si>
    <t>Amiens</t>
  </si>
  <si>
    <t>Somme</t>
  </si>
  <si>
    <t>Casque urbain</t>
  </si>
  <si>
    <t>CMD-20250290</t>
  </si>
  <si>
    <t>Beauvais</t>
  </si>
  <si>
    <t>Oise</t>
  </si>
  <si>
    <t>Réglage freins</t>
  </si>
  <si>
    <t>CMD-20250249</t>
  </si>
  <si>
    <t>VAE</t>
  </si>
  <si>
    <t>E-Cargo Family</t>
  </si>
  <si>
    <t>CMD-20250026</t>
  </si>
  <si>
    <t>Retournée</t>
  </si>
  <si>
    <t>CMD-20250424</t>
  </si>
  <si>
    <t>CMD-20250363</t>
  </si>
  <si>
    <t>Lens</t>
  </si>
  <si>
    <t>Éclairage LED</t>
  </si>
  <si>
    <t>CMD-20250188</t>
  </si>
  <si>
    <t>Roubaix</t>
  </si>
  <si>
    <t>CMD-20250503</t>
  </si>
  <si>
    <t>CMD-20250247</t>
  </si>
  <si>
    <t>City Cargo</t>
  </si>
  <si>
    <t>CMD-20250325</t>
  </si>
  <si>
    <t>VTT</t>
  </si>
  <si>
    <t>Enduro Pro</t>
  </si>
  <si>
    <t>CMD-20250547</t>
  </si>
  <si>
    <t>E-Trek 500</t>
  </si>
  <si>
    <t>CMD-20250035</t>
  </si>
  <si>
    <t>CMD-20250063</t>
  </si>
  <si>
    <t>CMD-20250207</t>
  </si>
  <si>
    <t>CMD-20250539</t>
  </si>
  <si>
    <t>CMD-20250120</t>
  </si>
  <si>
    <t>CMD-20250010</t>
  </si>
  <si>
    <t>CMD-20250515</t>
  </si>
  <si>
    <t>CMD-20250235</t>
  </si>
  <si>
    <t>CMD-20250509</t>
  </si>
  <si>
    <t>Antivol U</t>
  </si>
  <si>
    <t>CMD-20250314</t>
  </si>
  <si>
    <t>Trail 27</t>
  </si>
  <si>
    <t>CMD-20250189</t>
  </si>
  <si>
    <t>E-City 400</t>
  </si>
  <si>
    <t>CMD-20250594</t>
  </si>
  <si>
    <t>CMD-20250491</t>
  </si>
  <si>
    <t>CMD-20250048</t>
  </si>
  <si>
    <t>CMD-20250522</t>
  </si>
  <si>
    <t>CMD-20250032</t>
  </si>
  <si>
    <t>CMD-20250268</t>
  </si>
  <si>
    <t>CMD-20250087</t>
  </si>
  <si>
    <t>CMD-20250301</t>
  </si>
  <si>
    <t>CMD-20250166</t>
  </si>
  <si>
    <t>CMD-20250542</t>
  </si>
  <si>
    <t>CMD-20250377</t>
  </si>
  <si>
    <t>CMD-20250451</t>
  </si>
  <si>
    <t>CMD-20250202</t>
  </si>
  <si>
    <t>CMD-20250327</t>
  </si>
  <si>
    <t>CMD-20250355</t>
  </si>
  <si>
    <t>CMD-20250208</t>
  </si>
  <si>
    <t>CMD-20250408</t>
  </si>
  <si>
    <t>CMD-20250378</t>
  </si>
  <si>
    <t>CMD-20250608</t>
  </si>
  <si>
    <t>CMD-20250323</t>
  </si>
  <si>
    <t>Rando XC</t>
  </si>
  <si>
    <t>CMD-20250348</t>
  </si>
  <si>
    <t>CMD-20250551</t>
  </si>
  <si>
    <t>CMD-20250178</t>
  </si>
  <si>
    <t>CMD-20250244</t>
  </si>
  <si>
    <t>CMD-20250223</t>
  </si>
  <si>
    <t>CMD-20250306</t>
  </si>
  <si>
    <t>CMD-20250339</t>
  </si>
  <si>
    <t>CMD-20250512</t>
  </si>
  <si>
    <t>CMD-20250007</t>
  </si>
  <si>
    <t>CMD-20250462</t>
  </si>
  <si>
    <t>CMD-20250380</t>
  </si>
  <si>
    <t>CMD-20250433</t>
  </si>
  <si>
    <t>CMD-20250573</t>
  </si>
  <si>
    <t>CMD-20250152</t>
  </si>
  <si>
    <t>CMD-20250263</t>
  </si>
  <si>
    <t>CMD-20250357</t>
  </si>
  <si>
    <t>CMD-20250037</t>
  </si>
  <si>
    <t>CMD-20250106</t>
  </si>
  <si>
    <t>CMD-20250402</t>
  </si>
  <si>
    <t>CMD-20250521</t>
  </si>
  <si>
    <t>CMD-20250536</t>
  </si>
  <si>
    <t>CMD-20250271</t>
  </si>
  <si>
    <t>CMD-20250543</t>
  </si>
  <si>
    <t>CMD-20250243</t>
  </si>
  <si>
    <t>CMD-20250561</t>
  </si>
  <si>
    <t>CMD-20250216</t>
  </si>
  <si>
    <t>CMD-20250112</t>
  </si>
  <si>
    <t>CMD-20250310</t>
  </si>
  <si>
    <t>CMD-20250296</t>
  </si>
  <si>
    <t>CMD-20250272</t>
  </si>
  <si>
    <t>CMD-20250255</t>
  </si>
  <si>
    <t>CMD-20250577</t>
  </si>
  <si>
    <t>CMD-20250516</t>
  </si>
  <si>
    <t>CMD-20250028</t>
  </si>
  <si>
    <t>CMD-20250118</t>
  </si>
  <si>
    <t>CMD-20250437</t>
  </si>
  <si>
    <t>CMD-20250596</t>
  </si>
  <si>
    <t>CMD-20250058</t>
  </si>
  <si>
    <t>CMD-20250453</t>
  </si>
  <si>
    <t>CMD-20250397</t>
  </si>
  <si>
    <t>CMD-20250070</t>
  </si>
  <si>
    <t>CMD-20250533</t>
  </si>
  <si>
    <t>CMD-20250071</t>
  </si>
  <si>
    <t>CMD-20250520</t>
  </si>
  <si>
    <t>CMD-20250233</t>
  </si>
  <si>
    <t>CMD-20250043</t>
  </si>
  <si>
    <t>CMD-20250151</t>
  </si>
  <si>
    <t>CMD-20250138</t>
  </si>
  <si>
    <t>CMD-20250487</t>
  </si>
  <si>
    <t>CMD-20250504</t>
  </si>
  <si>
    <t>CMD-20250497</t>
  </si>
  <si>
    <t>CMD-20250523</t>
  </si>
  <si>
    <t>CMD-20250312</t>
  </si>
  <si>
    <t>CMD-20250359</t>
  </si>
  <si>
    <t>CMD-20250465</t>
  </si>
  <si>
    <t>CMD-20250241</t>
  </si>
  <si>
    <t>CMD-20250468</t>
  </si>
  <si>
    <t>CMD-20250352</t>
  </si>
  <si>
    <t>CMD-20250332</t>
  </si>
  <si>
    <t>CMD-20250476</t>
  </si>
  <si>
    <t>CMD-20250442</t>
  </si>
  <si>
    <t>CMD-20250086</t>
  </si>
  <si>
    <t>CMD-20250558</t>
  </si>
  <si>
    <t>CMD-20250585</t>
  </si>
  <si>
    <t>CMD-20250570</t>
  </si>
  <si>
    <t>CMD-20250421</t>
  </si>
  <si>
    <t>CMD-20250388</t>
  </si>
  <si>
    <t>CMD-20250182</t>
  </si>
  <si>
    <t>CMD-20250404</t>
  </si>
  <si>
    <t>CMD-20250047</t>
  </si>
  <si>
    <t>CMD-20250528</t>
  </si>
  <si>
    <t>CMD-20250579</t>
  </si>
  <si>
    <t>CMD-20250004</t>
  </si>
  <si>
    <t>CMD-20250598</t>
  </si>
  <si>
    <t>CMD-20250250</t>
  </si>
  <si>
    <t>CMD-20250562</t>
  </si>
  <si>
    <t>CMD-20250456</t>
  </si>
  <si>
    <t>CMD-20250175</t>
  </si>
  <si>
    <t>CMD-20250056</t>
  </si>
  <si>
    <t>CMD-20250286</t>
  </si>
  <si>
    <t>CMD-20250552</t>
  </si>
  <si>
    <t>CMD-20250283</t>
  </si>
  <si>
    <t>CMD-20250253</t>
  </si>
  <si>
    <t>CMD-20250494</t>
  </si>
  <si>
    <t>CMD-20250529</t>
  </si>
  <si>
    <t>CMD-20250264</t>
  </si>
  <si>
    <t>CMD-20250592</t>
  </si>
  <si>
    <t>CMD-20250351</t>
  </si>
  <si>
    <t>CMD-20250110</t>
  </si>
  <si>
    <t>CMD-20250305</t>
  </si>
  <si>
    <t>CMD-20250230</t>
  </si>
  <si>
    <t>CMD-20250458</t>
  </si>
  <si>
    <t>CMD-20250553</t>
  </si>
  <si>
    <t>CMD-20250615</t>
  </si>
  <si>
    <t>CMD-20250299</t>
  </si>
  <si>
    <t>CMD-20250234</t>
  </si>
  <si>
    <t>CMD-20250365</t>
  </si>
  <si>
    <t>CMD-20250303</t>
  </si>
  <si>
    <t>CMD-20250448</t>
  </si>
  <si>
    <t>CMD-20250183</t>
  </si>
  <si>
    <t>CMD-20250265</t>
  </si>
  <si>
    <t>CMD-20250125</t>
  </si>
  <si>
    <t>CMD-20250545</t>
  </si>
  <si>
    <t>CMD-20250123</t>
  </si>
  <si>
    <t>CMD-20250372</t>
  </si>
  <si>
    <t>CMD-20250307</t>
  </si>
  <si>
    <t>CMD-20250203</t>
  </si>
  <si>
    <t>CMD-20250601</t>
  </si>
  <si>
    <t>CMD-20250344</t>
  </si>
  <si>
    <t>CMD-20250204</t>
  </si>
  <si>
    <t>CMD-20250318</t>
  </si>
  <si>
    <t>CMD-20250370</t>
  </si>
  <si>
    <t>CMD-20250316</t>
  </si>
  <si>
    <t>CMD-20250469</t>
  </si>
  <si>
    <t>CMD-20250616</t>
  </si>
  <si>
    <t>CMD-20250073</t>
  </si>
  <si>
    <t>CMD-20250336</t>
  </si>
  <si>
    <t>CMD-20250564</t>
  </si>
  <si>
    <t>CMD-20250565</t>
  </si>
  <si>
    <t>CMD-20250033</t>
  </si>
  <si>
    <t>CMD-20250284</t>
  </si>
  <si>
    <t>CMD-20250441</t>
  </si>
  <si>
    <t>CMD-20250366</t>
  </si>
  <si>
    <t>CMD-20250508</t>
  </si>
  <si>
    <t>CMD-20250094</t>
  </si>
  <si>
    <t>CMD-20250578</t>
  </si>
  <si>
    <t>CMD-20250215</t>
  </si>
  <si>
    <t>CMD-20250452</t>
  </si>
  <si>
    <t>CMD-20250315</t>
  </si>
  <si>
    <t>CMD-20250319</t>
  </si>
  <si>
    <t>CMD-20250472</t>
  </si>
  <si>
    <t>CMD-20250518</t>
  </si>
  <si>
    <t>CMD-20250416</t>
  </si>
  <si>
    <t>CMD-20250065</t>
  </si>
  <si>
    <t>CMD-20250559</t>
  </si>
  <si>
    <t>CMD-20250014</t>
  </si>
  <si>
    <t>CMD-20250187</t>
  </si>
  <si>
    <t>CMD-20250171</t>
  </si>
  <si>
    <t>CMD-20250490</t>
  </si>
  <si>
    <t>CMD-20250532</t>
  </si>
  <si>
    <t>CMD-20250335</t>
  </si>
  <si>
    <t>CMD-20250095</t>
  </si>
  <si>
    <t>CMD-20250291</t>
  </si>
  <si>
    <t>CMD-20250062</t>
  </si>
  <si>
    <t>CMD-20250252</t>
  </si>
  <si>
    <t>CMD-20250212</t>
  </si>
  <si>
    <t>CMD-20250343</t>
  </si>
  <si>
    <t>CMD-20250130</t>
  </si>
  <si>
    <t>CMD-20250427</t>
  </si>
  <si>
    <t>CMD-20250412</t>
  </si>
  <si>
    <t>CMD-20250500</t>
  </si>
  <si>
    <t>CMD-20250331</t>
  </si>
  <si>
    <t>CMD-20250568</t>
  </si>
  <si>
    <t>CMD-20250114</t>
  </si>
  <si>
    <t>CMD-20250463</t>
  </si>
  <si>
    <t>CMD-20250311</t>
  </si>
  <si>
    <t>CMD-20250069</t>
  </si>
  <si>
    <t>CMD-20250148</t>
  </si>
  <si>
    <t>CMD-20250560</t>
  </si>
  <si>
    <t>CMD-20250136</t>
  </si>
  <si>
    <t>CMD-20250617</t>
  </si>
  <si>
    <t>CMD-20250101</t>
  </si>
  <si>
    <t>CMD-20250420</t>
  </si>
  <si>
    <t>CMD-20250329</t>
  </si>
  <si>
    <t>CMD-20250493</t>
  </si>
  <si>
    <t>CMD-20250270</t>
  </si>
  <si>
    <t>CMD-20250088</t>
  </si>
  <si>
    <t>CMD-20250385</t>
  </si>
  <si>
    <t>CMD-20250474</t>
  </si>
  <si>
    <t>CMD-20250413</t>
  </si>
  <si>
    <t>CMD-20250132</t>
  </si>
  <si>
    <t>CMD-20250439</t>
  </si>
  <si>
    <t>CMD-20250019</t>
  </si>
  <si>
    <t>CMD-20250222</t>
  </si>
  <si>
    <t>CMD-20250017</t>
  </si>
  <si>
    <t>CMD-20250423</t>
  </si>
  <si>
    <t>CMD-20250117</t>
  </si>
  <si>
    <t>CMD-20250389</t>
  </si>
  <si>
    <t>CMD-20250295</t>
  </si>
  <si>
    <t>CMD-20250457</t>
  </si>
  <si>
    <t>CMD-20250481</t>
  </si>
  <si>
    <t>CMD-20250531</t>
  </si>
  <si>
    <t>CMD-20250172</t>
  </si>
  <si>
    <t>CMD-20250405</t>
  </si>
  <si>
    <t>CMD-20250020</t>
  </si>
  <si>
    <t>CMD-20250581</t>
  </si>
  <si>
    <t>CMD-20250589</t>
  </si>
  <si>
    <t>CMD-20250050</t>
  </si>
  <si>
    <t>CMD-20250079</t>
  </si>
  <si>
    <t>CMD-20250455</t>
  </si>
  <si>
    <t>CMD-20250555</t>
  </si>
  <si>
    <t>CMD-20250165</t>
  </si>
  <si>
    <t>CMD-20250135</t>
  </si>
  <si>
    <t>CMD-20250273</t>
  </si>
  <si>
    <t>CMD-20250147</t>
  </si>
  <si>
    <t>CMD-20250201</t>
  </si>
  <si>
    <t>CMD-20250186</t>
  </si>
  <si>
    <t>CMD-20250096</t>
  </si>
  <si>
    <t>CMD-20250158</t>
  </si>
  <si>
    <t>CMD-20250582</t>
  </si>
  <si>
    <t>CMD-20250381</t>
  </si>
  <si>
    <t>CMD-20250027</t>
  </si>
  <si>
    <t>CMD-20250091</t>
  </si>
  <si>
    <t>CMD-20250085</t>
  </si>
  <si>
    <t>CMD-20250374</t>
  </si>
  <si>
    <t>CMD-20250054</t>
  </si>
  <si>
    <t>CMD-20250282</t>
  </si>
  <si>
    <t>CMD-20250011</t>
  </si>
  <si>
    <t>CMD-20250293</t>
  </si>
  <si>
    <t>CMD-20250411</t>
  </si>
  <si>
    <t>CMD-20250361</t>
  </si>
  <si>
    <t>CMD-20250173</t>
  </si>
  <si>
    <t>CMD-20250194</t>
  </si>
  <si>
    <t>CMD-20250550</t>
  </si>
  <si>
    <t>CMD-20250257</t>
  </si>
  <si>
    <t>CMD-20250414</t>
  </si>
  <si>
    <t>CMD-20250076</t>
  </si>
  <si>
    <t>CMD-20250569</t>
  </si>
  <si>
    <t>CMD-20250525</t>
  </si>
  <si>
    <t>CMD-20250602</t>
  </si>
  <si>
    <t>CMD-20250591</t>
  </si>
  <si>
    <t>CMD-20250281</t>
  </si>
  <si>
    <t>CMD-20250371</t>
  </si>
  <si>
    <t>CMD-20250067</t>
  </si>
  <si>
    <t>CMD-20250092</t>
  </si>
  <si>
    <t>CMD-20250484</t>
  </si>
  <si>
    <t>CMD-20250164</t>
  </si>
  <si>
    <t>CMD-20250140</t>
  </si>
  <si>
    <t>CMD-20250393</t>
  </si>
  <si>
    <t>CMD-20250238</t>
  </si>
  <si>
    <t>CMD-20250064</t>
  </si>
  <si>
    <t>CMD-20250387</t>
  </si>
  <si>
    <t>CMD-20250278</t>
  </si>
  <si>
    <t>CMD-20250030</t>
  </si>
  <si>
    <t>CMD-20250356</t>
  </si>
  <si>
    <t>CMD-20250224</t>
  </si>
  <si>
    <t>CMD-20250571</t>
  </si>
  <si>
    <t>CMD-20250530</t>
  </si>
  <si>
    <t>CMD-20250227</t>
  </si>
  <si>
    <t>CMD-20250038</t>
  </si>
  <si>
    <t>CMD-20250174</t>
  </si>
  <si>
    <t>CMD-20250538</t>
  </si>
  <si>
    <t>CMD-20250221</t>
  </si>
  <si>
    <t>CMD-20250108</t>
  </si>
  <si>
    <t>CMD-20250428</t>
  </si>
  <si>
    <t>CMD-20250181</t>
  </si>
  <si>
    <t>CMD-20250159</t>
  </si>
  <si>
    <t>CMD-20250199</t>
  </si>
  <si>
    <t>CMD-20250153</t>
  </si>
  <si>
    <t>CMD-20250445</t>
  </si>
  <si>
    <t>CMD-20250593</t>
  </si>
  <si>
    <t>CMD-20250089</t>
  </si>
  <si>
    <t>CMD-20250229</t>
  </si>
  <si>
    <t>CMD-20250583</t>
  </si>
  <si>
    <t>CMD-20250563</t>
  </si>
  <si>
    <t>CMD-20250292</t>
  </si>
  <si>
    <t>CMD-20250155</t>
  </si>
  <si>
    <t>CMD-20250619</t>
  </si>
  <si>
    <t>CMD-20250541</t>
  </si>
  <si>
    <t>CMD-20250431</t>
  </si>
  <si>
    <t>CMD-20250418</t>
  </si>
  <si>
    <t>CMD-20250524</t>
  </si>
  <si>
    <t>CMD-20250133</t>
  </si>
  <si>
    <t>CMD-20250473</t>
  </si>
  <si>
    <t>CMD-20250163</t>
  </si>
  <si>
    <t>CMD-20250046</t>
  </si>
  <si>
    <t>CMD-20250210</t>
  </si>
  <si>
    <t>CMD-20250109</t>
  </si>
  <si>
    <t>CMD-20250436</t>
  </si>
  <si>
    <t>CMD-20250129</t>
  </si>
  <si>
    <t>CMD-20250008</t>
  </si>
  <si>
    <t>CMD-20250277</t>
  </si>
  <si>
    <t>CMD-20250486</t>
  </si>
  <si>
    <t>CMD-20250157</t>
  </si>
  <si>
    <t>CMD-20250480</t>
  </si>
  <si>
    <t>CMD-20250034</t>
  </si>
  <si>
    <t>CMD-20250217</t>
  </si>
  <si>
    <t>CMD-20250193</t>
  </si>
  <si>
    <t>CMD-20250544</t>
  </si>
  <si>
    <t>CMD-20250392</t>
  </si>
  <si>
    <t>CMD-20250077</t>
  </si>
  <si>
    <t>CMD-20250384</t>
  </si>
  <si>
    <t>CMD-20250537</t>
  </si>
  <si>
    <t>CMD-20250297</t>
  </si>
  <si>
    <t>CMD-20250434</t>
  </si>
  <si>
    <t>CMD-20250620</t>
  </si>
  <si>
    <t>CMD-20250360</t>
  </si>
  <si>
    <t>CMD-20250156</t>
  </si>
  <si>
    <t>CMD-20250430</t>
  </si>
  <si>
    <t>CMD-20250556</t>
  </si>
  <si>
    <t>CMD-20250154</t>
  </si>
  <si>
    <t>CMD-20250606</t>
  </si>
  <si>
    <t>CMD-20250464</t>
  </si>
  <si>
    <t>CMD-20250228</t>
  </si>
  <si>
    <t>CMD-20250567</t>
  </si>
  <si>
    <t>CMD-20250449</t>
  </si>
  <si>
    <t>CMD-20250383</t>
  </si>
  <si>
    <t>CMD-20250191</t>
  </si>
  <si>
    <t>CMD-20250498</t>
  </si>
  <si>
    <t>CMD-20250599</t>
  </si>
  <si>
    <t>CMD-20250444</t>
  </si>
  <si>
    <t>CMD-20250185</t>
  </si>
  <si>
    <t>CMD-20250492</t>
  </si>
  <si>
    <t>CMD-20250417</t>
  </si>
  <si>
    <t>CMD-20250354</t>
  </si>
  <si>
    <t>CMD-20250454</t>
  </si>
  <si>
    <t>CMD-20250100</t>
  </si>
  <si>
    <t>CMD-20250226</t>
  </si>
  <si>
    <t>CMD-20250495</t>
  </si>
  <si>
    <t>CMD-20250403</t>
  </si>
  <si>
    <t>CMD-20250406</t>
  </si>
  <si>
    <t>CMD-20250213</t>
  </si>
  <si>
    <t>CMD-20250398</t>
  </si>
  <si>
    <t>CMD-20250496</t>
  </si>
  <si>
    <t>CMD-20250161</t>
  </si>
  <si>
    <t>CMD-20250342</t>
  </si>
  <si>
    <t>CMD-20250261</t>
  </si>
  <si>
    <t>CMD-20250511</t>
  </si>
  <si>
    <t>CMD-20250419</t>
  </si>
  <si>
    <t>CMD-20250302</t>
  </si>
  <si>
    <t>CMD-20250353</t>
  </si>
  <si>
    <t>CMD-20250459</t>
  </si>
  <si>
    <t>CMD-20250607</t>
  </si>
  <si>
    <t>CMD-20250499</t>
  </si>
  <si>
    <t>CMD-20250113</t>
  </si>
  <si>
    <t>CMD-20250364</t>
  </si>
  <si>
    <t>CMD-20250060</t>
  </si>
  <si>
    <t>CMD-20250209</t>
  </si>
  <si>
    <t>CMD-20250587</t>
  </si>
  <si>
    <t>CMD-20250190</t>
  </si>
  <si>
    <t>CMD-20250326</t>
  </si>
  <si>
    <t>CMD-20250098</t>
  </si>
  <si>
    <t>CMD-20250167</t>
  </si>
  <si>
    <t>CMD-20250057</t>
  </si>
  <si>
    <t>CMD-20250128</t>
  </si>
  <si>
    <t>CMD-20250036</t>
  </si>
  <si>
    <t>CMD-20250328</t>
  </si>
  <si>
    <t>CMD-20250041</t>
  </si>
  <si>
    <t>CMD-20250382</t>
  </si>
  <si>
    <t>CMD-20250180</t>
  </si>
  <si>
    <t>CMD-20250588</t>
  </si>
  <si>
    <t>CMD-20250394</t>
  </si>
  <si>
    <t>CMD-20250127</t>
  </si>
  <si>
    <t>CMD-20250256</t>
  </si>
  <si>
    <t>CMD-20250205</t>
  </si>
  <si>
    <t>CMD-20250475</t>
  </si>
  <si>
    <t>CMD-20250507</t>
  </si>
  <si>
    <t>CMD-20250005</t>
  </si>
  <si>
    <t>CMD-20250618</t>
  </si>
  <si>
    <t>CMD-20250477</t>
  </si>
  <si>
    <t>CMD-20250432</t>
  </si>
  <si>
    <t>CMD-20250280</t>
  </si>
  <si>
    <t>CMD-20250546</t>
  </si>
  <si>
    <t>CMD-20250435</t>
  </si>
  <si>
    <t>CMD-20250025</t>
  </si>
  <si>
    <t>CMD-20250049</t>
  </si>
  <si>
    <t>CMD-20250466</t>
  </si>
  <si>
    <t>CMD-20250535</t>
  </si>
  <si>
    <t>CMD-20250519</t>
  </si>
  <si>
    <t>CMD-20250334</t>
  </si>
  <si>
    <t>CMD-20250137</t>
  </si>
  <si>
    <t>CMD-20250422</t>
  </si>
  <si>
    <t>CMD-20250102</t>
  </si>
  <si>
    <t>CMD-20250429</t>
  </si>
  <si>
    <t>CMD-20250488</t>
  </si>
  <si>
    <t>CMD-20250572</t>
  </si>
  <si>
    <t>CMD-20250517</t>
  </si>
  <si>
    <t>CMD-20250015</t>
  </si>
  <si>
    <t>CMD-20250266</t>
  </si>
  <si>
    <t>CMD-20250590</t>
  </si>
  <si>
    <t>CMD-20250300</t>
  </si>
  <si>
    <t>CMD-20250251</t>
  </si>
  <si>
    <t>CMD-20250298</t>
  </si>
  <si>
    <t>CMD-20250317</t>
  </si>
  <si>
    <t>CMD-20250198</t>
  </si>
  <si>
    <t>CMD-20250053</t>
  </si>
  <si>
    <t>CMD-20250279</t>
  </si>
  <si>
    <t>CMD-20250240</t>
  </si>
  <si>
    <t>CMD-20250309</t>
  </si>
  <si>
    <t>CMD-20250211</t>
  </si>
  <si>
    <t>CMD-20250501</t>
  </si>
  <si>
    <t>CMD-20250482</t>
  </si>
  <si>
    <t>CMD-20250219</t>
  </si>
  <si>
    <t>CMD-20250144</t>
  </si>
  <si>
    <t>CMD-20250052</t>
  </si>
  <si>
    <t>CMD-20250358</t>
  </si>
  <si>
    <t>CMD-20250574</t>
  </si>
  <si>
    <t>CMD-20250099</t>
  </si>
  <si>
    <t>CMD-20250231</t>
  </si>
  <si>
    <t>CMD-20250121</t>
  </si>
  <si>
    <t>CMD-20250177</t>
  </si>
  <si>
    <t>CMD-20250330</t>
  </si>
  <si>
    <t>CMD-20250107</t>
  </si>
  <si>
    <t>CMD-20250595</t>
  </si>
  <si>
    <t>CMD-20250176</t>
  </si>
  <si>
    <t>CMD-20250489</t>
  </si>
  <si>
    <t>CMD-20250236</t>
  </si>
  <si>
    <t>CMD-20250003</t>
  </si>
  <si>
    <t>CMD-20250122</t>
  </si>
  <si>
    <t>CMD-20250248</t>
  </si>
  <si>
    <t>CMD-20250350</t>
  </si>
  <si>
    <t>CMD-20250333</t>
  </si>
  <si>
    <t>CMD-20250527</t>
  </si>
  <si>
    <t>CMD-20250097</t>
  </si>
  <si>
    <t>CMD-20250082</t>
  </si>
  <si>
    <t>CMD-20250061</t>
  </si>
  <si>
    <t>CMD-20250145</t>
  </si>
  <si>
    <t>CMD-20250160</t>
  </si>
  <si>
    <t>CMD-20250068</t>
  </si>
  <si>
    <t>CMD-20250324</t>
  </si>
  <si>
    <t>CMD-20250557</t>
  </si>
  <si>
    <t>CMD-20250549</t>
  </si>
  <si>
    <t>CMD-20250267</t>
  </si>
  <si>
    <t>CMD-20250197</t>
  </si>
  <si>
    <t>CMD-20250322</t>
  </si>
  <si>
    <t>CMD-20250080</t>
  </si>
  <si>
    <t>CMD-20250081</t>
  </si>
  <si>
    <t>CMD-20250260</t>
  </si>
  <si>
    <t>CMD-20250502</t>
  </si>
  <si>
    <t>CMD-20250016</t>
  </si>
  <si>
    <t>CMD-20250415</t>
  </si>
  <si>
    <t>CMD-20250179</t>
  </si>
  <si>
    <t>CMD-20250597</t>
  </si>
  <si>
    <t>CMD-20250386</t>
  </si>
  <si>
    <t>CMD-20250150</t>
  </si>
  <si>
    <t>CMD-20250006</t>
  </si>
  <si>
    <t>CMD-20250580</t>
  </si>
  <si>
    <t>CMD-20250346</t>
  </si>
  <si>
    <t>CMD-20250055</t>
  </si>
  <si>
    <t>CMD-20250471</t>
  </si>
  <si>
    <t>CMD-20250126</t>
  </si>
  <si>
    <t>CMD-20250105</t>
  </si>
  <si>
    <t>CMD-20250375</t>
  </si>
  <si>
    <t>CMD-20250376</t>
  </si>
  <si>
    <t>CMD-20250604</t>
  </si>
  <si>
    <t>CMD-20250586</t>
  </si>
  <si>
    <t>CMD-20250258</t>
  </si>
  <si>
    <t>CMD-20250002</t>
  </si>
  <si>
    <t>CMD-20250018</t>
  </si>
  <si>
    <t>CMD-20250134</t>
  </si>
  <si>
    <t>CMD-20250083</t>
  </si>
  <si>
    <t>CMD-20250467</t>
  </si>
  <si>
    <t>CMD-20250510</t>
  </si>
  <si>
    <t>CMD-20250447</t>
  </si>
  <si>
    <t>CMD-20250239</t>
  </si>
  <si>
    <t>CMD-20250340</t>
  </si>
  <si>
    <t>CMD-20250534</t>
  </si>
  <si>
    <t>CMD-20250168</t>
  </si>
  <si>
    <t>CMD-20250367</t>
  </si>
  <si>
    <t>CMD-20250584</t>
  </si>
  <si>
    <t>CMD-20250379</t>
  </si>
  <si>
    <t>CMD-20250196</t>
  </si>
  <si>
    <t>CMD-20250443</t>
  </si>
  <si>
    <t>CMD-20250369</t>
  </si>
  <si>
    <t>CMD-20250390</t>
  </si>
  <si>
    <t>CMD-20250218</t>
  </si>
  <si>
    <t>CMD-20250526</t>
  </si>
  <si>
    <t>CMD-20250337</t>
  </si>
  <si>
    <t>CMD-20250478</t>
  </si>
  <si>
    <t>CMD-20250440</t>
  </si>
  <si>
    <t>CMD-20250059</t>
  </si>
  <si>
    <t>CMD-20250395</t>
  </si>
  <si>
    <t>CMD-20250214</t>
  </si>
  <si>
    <t>CMD-20250093</t>
  </si>
  <si>
    <t>CMD-20250111</t>
  </si>
  <si>
    <t>CMD-20250001</t>
  </si>
  <si>
    <t>CMD-20250285</t>
  </si>
  <si>
    <t>CMD-20250407</t>
  </si>
  <si>
    <t>CMD-20250141</t>
  </si>
  <si>
    <t>CMD-20250195</t>
  </si>
  <si>
    <t>CMD-20250072</t>
  </si>
  <si>
    <t>CMD-20250192</t>
  </si>
  <si>
    <t>CMD-20250051</t>
  </si>
  <si>
    <t>CMD-20250603</t>
  </si>
  <si>
    <t>CMD-20250548</t>
  </si>
  <si>
    <t>CMD-20250506</t>
  </si>
  <si>
    <t>CMD-20250362</t>
  </si>
  <si>
    <t>CMD-20250075</t>
  </si>
  <si>
    <t>CMD-20250119</t>
  </si>
  <si>
    <t>CMD-20250024</t>
  </si>
  <si>
    <t>CMD-20250275</t>
  </si>
  <si>
    <t>CMD-20250274</t>
  </si>
  <si>
    <t>CMD-20250131</t>
  </si>
  <si>
    <t>CMD-20250540</t>
  </si>
  <si>
    <t>CMD-20250450</t>
  </si>
  <si>
    <t>CMD-20250254</t>
  </si>
  <si>
    <t>CMD-20250031</t>
  </si>
  <si>
    <t>CMD-20250614</t>
  </si>
  <si>
    <t>CMD-20250206</t>
  </si>
  <si>
    <t>CMD-20250200</t>
  </si>
  <si>
    <t>CMD-20250611</t>
  </si>
  <si>
    <t>CMD-20250124</t>
  </si>
  <si>
    <t>CMD-20250116</t>
  </si>
  <si>
    <t>CMD-20250276</t>
  </si>
  <si>
    <t>CMD-20250269</t>
  </si>
  <si>
    <t>CMD-20250169</t>
  </si>
  <si>
    <t>CMD-20250426</t>
  </si>
  <si>
    <t>CMD-20250461</t>
  </si>
  <si>
    <t>CMD-20250409</t>
  </si>
  <si>
    <t>CMD-20250347</t>
  </si>
  <si>
    <t>CMD-20250023</t>
  </si>
  <si>
    <t>CMD-20250425</t>
  </si>
  <si>
    <t>CMD-20250554</t>
  </si>
  <si>
    <t>CMD-20250341</t>
  </si>
  <si>
    <t>CMD-20250184</t>
  </si>
  <si>
    <t>CMD-20250485</t>
  </si>
  <si>
    <t>CMD-20250479</t>
  </si>
  <si>
    <t>CMD-20250308</t>
  </si>
  <si>
    <t>CMD-20250262</t>
  </si>
  <si>
    <t>CMD-20250289</t>
  </si>
  <si>
    <t>CMD-20250029</t>
  </si>
  <si>
    <t>CMD-20250514</t>
  </si>
  <si>
    <t>CMD-20250391</t>
  </si>
  <si>
    <t>CMD-20250245</t>
  </si>
  <si>
    <t>CMD-20250345</t>
  </si>
  <si>
    <t>CMD-20250321</t>
  </si>
  <si>
    <t>CMD-20250259</t>
  </si>
  <si>
    <t>CMD-20250042</t>
  </si>
  <si>
    <t>CMD-20250044</t>
  </si>
  <si>
    <t>CMD-20250104</t>
  </si>
  <si>
    <t>CMD-20250320</t>
  </si>
  <si>
    <t>CMD-20250460</t>
  </si>
  <si>
    <t>CMD-20250288</t>
  </si>
  <si>
    <t>CMD-20250609</t>
  </si>
  <si>
    <t>CMD-20250446</t>
  </si>
  <si>
    <t>CMD-20250237</t>
  </si>
  <si>
    <t>CMD-20250220</t>
  </si>
  <si>
    <t>CMD-20250143</t>
  </si>
  <si>
    <t>CMD-20250078</t>
  </si>
  <si>
    <t>CMD-20250613</t>
  </si>
  <si>
    <t>CMD-20250396</t>
  </si>
  <si>
    <t>CMD-20250349</t>
  </si>
  <si>
    <t>CMD-20250022</t>
  </si>
  <si>
    <t>CMD-20250115</t>
  </si>
  <si>
    <t>CMD-20250513</t>
  </si>
  <si>
    <t>CMD-20250505</t>
  </si>
  <si>
    <t>CMD-20250146</t>
  </si>
  <si>
    <t>CMD-20250074</t>
  </si>
  <si>
    <t>CMD-20250612</t>
  </si>
  <si>
    <t>CMD-20250401</t>
  </si>
  <si>
    <t>CMD-20250149</t>
  </si>
  <si>
    <t>CMD-20250084</t>
  </si>
  <si>
    <t>CMD-20250438</t>
  </si>
  <si>
    <t>CMD-20250012</t>
  </si>
  <si>
    <t>CMD-20250610</t>
  </si>
  <si>
    <t>CMD-20250066</t>
  </si>
  <si>
    <t>CMD-20250103</t>
  </si>
  <si>
    <t>CMD-20250294</t>
  </si>
  <si>
    <t>CMD-20250287</t>
  </si>
  <si>
    <t>CMD-20250139</t>
  </si>
  <si>
    <t>CMD-20250566</t>
  </si>
  <si>
    <t>CMD-20250039</t>
  </si>
  <si>
    <t>CMD-20250246</t>
  </si>
  <si>
    <t>CMD-20250225</t>
  </si>
  <si>
    <t>CMD-20250021</t>
  </si>
  <si>
    <t>CMD-20250373</t>
  </si>
  <si>
    <t>CMD-20250600</t>
  </si>
  <si>
    <t>CMD-20250013</t>
  </si>
  <si>
    <t>CMD-20250338</t>
  </si>
  <si>
    <t>CMD-20250170</t>
  </si>
  <si>
    <t>CMD-20250313</t>
  </si>
  <si>
    <t>CMD-20250400</t>
  </si>
  <si>
    <t>CMD-20250090</t>
  </si>
  <si>
    <t>CMD-20250304</t>
  </si>
  <si>
    <t>Colonne</t>
  </si>
  <si>
    <t>Type</t>
  </si>
  <si>
    <t>Description</t>
  </si>
  <si>
    <t>Valeurs attendues</t>
  </si>
  <si>
    <t>Texte</t>
  </si>
  <si>
    <t>Identifiant unique de la commande</t>
  </si>
  <si>
    <t>CMD-2025XXXX, unique</t>
  </si>
  <si>
    <t>Date</t>
  </si>
  <si>
    <t>Date de passage de la commande</t>
  </si>
  <si>
    <t>Du 01/01/2025 au 31/12/2025</t>
  </si>
  <si>
    <t>Ville du magasin rattaché à la commande</t>
  </si>
  <si>
    <t>Lille, Roubaix, Valenciennes, Dunkerque, Arras, Lens, Amiens, Beauvais</t>
  </si>
  <si>
    <t>Département du magasin</t>
  </si>
  <si>
    <t>Nord, Pas-de-Calais, Somme, Oise</t>
  </si>
  <si>
    <t>Famille de produit</t>
  </si>
  <si>
    <t>Vélo urbain, VTT, VAE, Accessoires, Atelier</t>
  </si>
  <si>
    <t>Libellé du produit ou de la prestation</t>
  </si>
  <si>
    <t>Catalogue Cyclo'Nord</t>
  </si>
  <si>
    <t>Canal de vente</t>
  </si>
  <si>
    <t>Magasin, Site web, Click &amp; Collect</t>
  </si>
  <si>
    <t>Entier</t>
  </si>
  <si>
    <t>Nombre d'unités commandées</t>
  </si>
  <si>
    <t>Entier ≥ 1</t>
  </si>
  <si>
    <t>Décimal (€)</t>
  </si>
  <si>
    <t>Prix catalogue unitaire TTC</t>
  </si>
  <si>
    <t>&gt; 0</t>
  </si>
  <si>
    <t>Pourcentage</t>
  </si>
  <si>
    <t>Remise appliquée</t>
  </si>
  <si>
    <t>0 % à 20 % (politique commerciale)</t>
  </si>
  <si>
    <t>Montant payé = Quantite × Prix_unitaire_TTC × (1 − Remise)</t>
  </si>
  <si>
    <t>État de la commande</t>
  </si>
  <si>
    <t>Livrée, En cours, Annulée, Retournée</t>
  </si>
  <si>
    <t>Satisfaction déclarée (peut être vide)</t>
  </si>
  <si>
    <t>1 à 5 ou vide</t>
  </si>
  <si>
    <t>Correction</t>
  </si>
  <si>
    <t>Volume</t>
  </si>
  <si>
    <t>Regle appliquee</t>
  </si>
  <si>
    <t>Magasin normalise</t>
  </si>
  <si>
    <t>17 libelles distincts ramenes a 8</t>
  </si>
  <si>
    <t>Minuscules/majuscules, espaces parasites, « Valencienne » devient « Valenciennes »</t>
  </si>
  <si>
    <t>Departement complete</t>
  </si>
  <si>
    <t>6 cellules vides comblees</t>
  </si>
  <si>
    <t>Deduit du magasin (regle metier : 1 magasin = 1 departement)</t>
  </si>
  <si>
    <t>Categorie completee</t>
  </si>
  <si>
    <t>5 cellules vides comblees</t>
  </si>
  <si>
    <t>Deduite du libelle produit via le catalogue</t>
  </si>
  <si>
    <t>Doublons supprimes</t>
  </si>
  <si>
    <t>7 lignes retirees</t>
  </si>
  <si>
    <t>Meme commande saisie deux fois : seule la 1re occurrence est conservee</t>
  </si>
  <si>
    <t>Dates hors 2025 retirees</t>
  </si>
  <si>
    <t>4 lignes retirees</t>
  </si>
  <si>
    <t>Perimetre de l'analyse : du 01/01/2025 au 31/12/2025</t>
  </si>
  <si>
    <t>Quantites impossibles retirees</t>
  </si>
  <si>
    <t>3 lignes retirees</t>
  </si>
  <si>
    <t>Quantite nulle ou negative : saisie non corrigeable, ligne ecartee</t>
  </si>
  <si>
    <t>Remises plafonnees</t>
  </si>
  <si>
    <t>3 valeurs ramenees a 20 %</t>
  </si>
  <si>
    <t>Plafond de la politique commerciale, valide par la direction</t>
  </si>
  <si>
    <t>Montant recalcule</t>
  </si>
  <si>
    <t>6 montants corriges</t>
  </si>
  <si>
    <t>Formule du dictionnaire : Quantite x Prix unitaire x (1 - Remise)</t>
  </si>
  <si>
    <t>Notes invalides videes</t>
  </si>
  <si>
    <t>3 notes effacees</t>
  </si>
  <si>
    <t>Bareme 1 a 5 : les valeurs 0 et 6 sont des erreurs de saisie, laissees vides</t>
  </si>
  <si>
    <t>EN SUSPENS : quantites de 100</t>
  </si>
  <si>
    <t>3 lignes conservees telles quelles</t>
  </si>
  <si>
    <t>Commandes de flotte ou faute de frappe ? La direction n'a pas tranche. Ces lignes restent dans le fichier : c est a l analyse de decider quoi en faire.</t>
  </si>
  <si>
    <t>TOTAL</t>
  </si>
  <si>
    <t>-</t>
  </si>
  <si>
    <t>627 lignes vers 613 lignes</t>
  </si>
  <si>
    <t>14 lignes ecartees, soit 2.2%</t>
  </si>
  <si>
    <t>PARTIE A — Position (lundi après-midi)</t>
  </si>
  <si>
    <t>A1 · Typer les colonnes (20 min)</t>
  </si>
  <si>
    <t xml:space="preserve">Type </t>
  </si>
  <si>
    <t>Moyenne possible ? (oui/non)</t>
  </si>
  <si>
    <t>identifiant</t>
  </si>
  <si>
    <t>non</t>
  </si>
  <si>
    <t>date</t>
  </si>
  <si>
    <t>qualitative nominale</t>
  </si>
  <si>
    <t>quantitative discrète</t>
  </si>
  <si>
    <t>oui</t>
  </si>
  <si>
    <t>quantitative continue</t>
  </si>
  <si>
    <t>qualitative ordinale</t>
  </si>
  <si>
    <t>oui mais discutable</t>
  </si>
  <si>
    <t>Pour Note_client, la moyenne est discutable car on ne sait pas si la distribution est symétrique. Le calcul de moyenne est plus sensible aux valeurs extrêmes inclues dans sa formule. Globalement, la moyenne (dans le sens mathématique) =/=, n'est pas représentatif de : moyenne (dans le sens courant)</t>
  </si>
  <si>
    <t>A2 · Les trois indicateurs de position (30 min)</t>
  </si>
  <si>
    <t>Note client</t>
  </si>
  <si>
    <t>Moyenne</t>
  </si>
  <si>
    <t>Mediane</t>
  </si>
  <si>
    <t>Mode</t>
  </si>
  <si>
    <t>Moyenne supérieur à la médiane = distribution asymétrique, étalée vers la droite dans les 3 cas</t>
  </si>
  <si>
    <t>L'écart entre moyenne et médiane semble se creuser en fonction de l'amplitude des valeurs calculées</t>
  </si>
  <si>
    <t>A3 · Compter avant de commenter (20 min)</t>
  </si>
  <si>
    <t>NB(T_Ventes[Montant_TTC])</t>
  </si>
  <si>
    <t>NB(T_Ventes[Note_client])</t>
  </si>
  <si>
    <t>NB.VIDE(T_Ventes[Note_client])</t>
  </si>
  <si>
    <t>Nadia veut écrire "Nos 613 commandes obtiennent une note moyenne de 4,1/5. "</t>
  </si>
  <si>
    <t>Elle devrait écrire "Les 613 commandes livrées, annulées, retournées et en cours, qui ont reçu une évaluation client, affichent une note moyenne de 4,10, sur une amplitude de 0 à 5 échelonnée aux entiers"</t>
  </si>
  <si>
    <t>A4 · Le périmètre (30 min)</t>
  </si>
  <si>
    <t>SOMME(T_Ventes[Montant_TTC])</t>
  </si>
  <si>
    <t xml:space="preserve">SOMME.SI.ENS(T_Ventes[Montant_TTC]; T_Ventes[Statut]; "Livrée") </t>
  </si>
  <si>
    <t>NB.SI.ENS(T_Ventes[Statut]; "Livrée")</t>
  </si>
  <si>
    <t>part du montant total qui correspond à des commandes livrées, en pourcentage</t>
  </si>
  <si>
    <t>Que dirais-tu à Nadia si elle voulait annoncer « 1 029 700 € de chiffre d'affaires 2025 » ?</t>
  </si>
  <si>
    <t>-&gt; la somme des opérations de transaction monétaire de la colone Montant_TTC ne correspond pas seulement à des payements effectués en faveur de Cyclonord. Certaines commandes ont été annulées, retournées ou n'ont pas encore abouti (en cours)</t>
  </si>
  <si>
    <t>A5 · Calculer par sous-ensemble (45 min)</t>
  </si>
  <si>
    <t>Catégorie</t>
  </si>
  <si>
    <t>Nb commandes</t>
  </si>
  <si>
    <t>CA total</t>
  </si>
  <si>
    <t>Montant moyen</t>
  </si>
  <si>
    <t>Total</t>
  </si>
  <si>
    <t>Si, comme on vient de le dire à Nadia, le chiffre d'affaire ne correspond que aux commandes livrées, alors on doit ajouter cette information en argument de décompte et de calcul. On obtient alors 392 Nb commandes total et non 613</t>
  </si>
  <si>
    <t>-&gt; NB.SI.ENS(Tableau13[Categorie];"Accessoires"; Tableau13[Statut];"Livrée")</t>
  </si>
  <si>
    <t xml:space="preserve">Le VAE représente </t>
  </si>
  <si>
    <t>des commandes totales et</t>
  </si>
  <si>
    <t xml:space="preserve"> du montant moyen total</t>
  </si>
  <si>
    <t>Ainsi, l'écart entre les deux témoigne de l'importance de la pondération d'un critère de calcul : le VAE coûte plus cher, donc pèse plus lourd dans le calcul, à nombre de commande situé dans la norme de l'ensemble.</t>
  </si>
  <si>
    <t>A6 · Moyenne simple contre moyenne pondérée (30 min)</t>
  </si>
  <si>
    <t>Moyenne simple</t>
  </si>
  <si>
    <t xml:space="preserve">Moyenne pondérée </t>
  </si>
  <si>
    <t>Je n'ai pas ajouté d'argument [statut] ici car si la commande reçoit une note client je pars du principe que la commande est effective et donc livrée.</t>
  </si>
  <si>
    <t>Avec la moyenne pondérée, on calcul le degré de satisfaction en fonction de la somme dépensée par le client. Est-ce le critère d'évaluation retenu par l'équipe concernée ?</t>
  </si>
  <si>
    <t xml:space="preserve">Est-ce que c'est le job du data analyst de proposer une méthode pour quantifier le bonheur des gens ? </t>
  </si>
  <si>
    <t xml:space="preserve">J'ai l'impression que de toutes façons, on ne peut pas proposer d'autre terme que "moyenne" à l'équipe marketting pour partir en pub ("médiane"/"pondéré" trop compliqué pour le commun des mortels) </t>
  </si>
  <si>
    <t>et que cette équipe ne retiendra la chiffre que s'il est haut. Ils ne seront interessés que par la moyenne simple, plus haute, moins précise, pour gonfler les chiffres. Usage &gt; calcul</t>
  </si>
  <si>
    <t xml:space="preserve">Pour corriger les 53 cases vides, on peut conserver le calcul par la fonction MOYENNE car elle ignore les cellules vides </t>
  </si>
  <si>
    <t>OU intervenir sur le document : noter N/A dans toutes les cases vides pour qu'elles soient ignorées / filtrées</t>
  </si>
  <si>
    <t>=SOMMEPROD(Tableau13[Note_client]&lt;&gt;"" ;[Note_client]; "N/A" ; Tableau13[Montant_TTC]) / SOMME(Tableau13[Montant_TTC])</t>
  </si>
  <si>
    <t>ne fonctionne pas car change les notes client en vrai/faux</t>
  </si>
  <si>
    <t>=SOMMEPROD(Tableau13[Note_client]; "1" OUX(0); Tableau13[Montant_TTC]) / SOMME(Tableau13[Montant_TTC])</t>
  </si>
  <si>
    <t>=SOMMEPROD(Tableau13[Note_client]; "1" OU "2" OU "3" OU "4" OU "5"; Tableau13[Montant_TTC]) / SOMME(Tableau13[Montant_TTC])</t>
  </si>
  <si>
    <t>=SIERREUR(Tableau13[Note_client], "")</t>
  </si>
  <si>
    <t xml:space="preserve">Input Emilie : </t>
  </si>
  <si>
    <t xml:space="preserve">-&gt; besoin de comprendre comment stack les formules dans la meme cellule, et ce que fait exactement cette formule </t>
  </si>
  <si>
    <t>je sais pas si j'ai envie de mettre plus d'effort dans cette question, quand la fonction filtre fait le taf, et nettoyage de données / SQL écarteront le pb d'office</t>
  </si>
  <si>
    <t>A7 · La phrase de restitution (15 min)</t>
  </si>
  <si>
    <t>une seule phrase décrivant le montant typique d'une commande Cyclo'Nord. Elle doit contenir un indicateur de position, son périmètre, et ne pas induire Nadia en erreur.</t>
  </si>
  <si>
    <r>
      <t>indicateur de position</t>
    </r>
    <r>
      <rPr>
        <sz val="11"/>
        <color theme="1"/>
        <rFont val="Calibri"/>
        <family val="2"/>
        <scheme val="minor"/>
      </rPr>
      <t xml:space="preserve"> (ou paramètre de position) est une valeur numérique qui permet de situer ou de résumer une série de données statistiques en un seul point « typique ». [1, 2, 3]</t>
    </r>
  </si>
  <si>
    <t>-&gt; vus en A.3. les indicateurs de position sont la moyenne, la médiane et le mode</t>
  </si>
  <si>
    <t>Ici on demande le montant, donc on va cibler mode de Montant_TTC puis voir à quoi ça correspond</t>
  </si>
  <si>
    <t>=RECHERCHEV(A105; 'Ventes_2025 (2)'!K:K, -5 ; FAUX)</t>
  </si>
  <si>
    <t>nb. Une commande n'est pas forcément livrée</t>
  </si>
  <si>
    <t>Once again, fonction filtre ferait le taf</t>
  </si>
  <si>
    <t>Besoin de réorganiser le tableau pour utiliser ft RECHERCHEV, SQL aussi ferait le taf</t>
  </si>
  <si>
    <t xml:space="preserve">le cours me dit que l'information est </t>
  </si>
  <si>
    <t xml:space="preserve">Sur les ventes Cyclo'Nord il vaut 19 € : la commande la plus fréquente, ce n'est ni un VAE ni un VTT, c'est un changement de chambre à air. </t>
  </si>
  <si>
    <t>+ TCD me permettra de faire ça plus facilement</t>
  </si>
  <si>
    <t>je passe au B</t>
  </si>
  <si>
    <t>PARTIE B — Dispersion (mardi après-midi)</t>
  </si>
  <si>
    <t>B1 · Étendue, écart-type, coefficient de variation (30 min)</t>
  </si>
  <si>
    <t>=MIN(T_Ventes[Montant_TTC])                  → ?</t>
  </si>
  <si>
    <t>=MAX(T_Ventes[Montant_TTC])                  → ?</t>
  </si>
  <si>
    <t>=MAX(...) - MIN(...)                         → ?</t>
  </si>
  <si>
    <t>= étendue</t>
  </si>
  <si>
    <t>=ECARTYPE.STANDARD(T_Ventes[Montant_TTC])    → ?</t>
  </si>
  <si>
    <t>=ECARTYPE.PEARSON(T_Ventes[Montant_TTC])     → ?</t>
  </si>
  <si>
    <t>Coefficient de variation = écart-type/moy</t>
  </si>
  <si>
    <r>
      <rPr>
        <b/>
        <sz val="11"/>
        <color rgb="FF000000"/>
        <rFont val="Calibri"/>
        <scheme val="minor"/>
      </rPr>
      <t>Question B1.</t>
    </r>
    <r>
      <rPr>
        <sz val="11"/>
        <color rgb="FF000000"/>
        <rFont val="Calibri"/>
        <scheme val="minor"/>
      </rPr>
      <t xml:space="preserve"> Les deux écarts-types diffèrent de 12 € sur 15 500. Explique en deux lignes laquelle des deux fonctions convient ici, et pourquoi la différence est si faible.</t>
    </r>
  </si>
  <si>
    <t>Pearson pour un ensemble, Standard pour un échantillon. Ici il faudra Standard parce qu'on étudie une coupe temporelle de ventes</t>
  </si>
  <si>
    <t>Après c'est l'intégralité des ventes sur cette période donnée, alors,,, discutable</t>
  </si>
  <si>
    <t>Mais l'écart de faible valeur entre les deux est dû au fait qu'il s’agit d’échantillons de taille importante</t>
  </si>
  <si>
    <t>B2 · Le résumé à cinq nombres (30 min)</t>
  </si>
  <si>
    <t>Formule</t>
  </si>
  <si>
    <t>Valeur</t>
  </si>
  <si>
    <t>Effectif</t>
  </si>
  <si>
    <t>=NB(...)</t>
  </si>
  <si>
    <t>Minimum</t>
  </si>
  <si>
    <t>=MIN(...)</t>
  </si>
  <si>
    <t>Q1</t>
  </si>
  <si>
    <t>=QUARTILE.INCLURE(...;1)</t>
  </si>
  <si>
    <t>Médiane</t>
  </si>
  <si>
    <t>=MEDIANE(...)</t>
  </si>
  <si>
    <t>Q3</t>
  </si>
  <si>
    <t>=QUARTILE.INCLURE(...;3)</t>
  </si>
  <si>
    <t>Maximum</t>
  </si>
  <si>
    <t>=MAX(...)</t>
  </si>
  <si>
    <t>IQR</t>
  </si>
  <si>
    <t>La moitié des commandes Cyclo'Nord se situe entre 50,15€ et 1790€</t>
  </si>
  <si>
    <t>IQR = interquartile range ou écart interquartile - La moitié centrale : L'IQR représente l'étendue des 50 % des valeurs situées au milieu de la distribution, en éliminant les 25 % les plus faibles et les 25 % les plus élevées.</t>
  </si>
  <si>
    <t>B3 · Repérer les valeurs atypiques (40 min)</t>
  </si>
  <si>
    <t>Seuil_bas   = Q1 - 1,5*IQR       → ?</t>
  </si>
  <si>
    <t>Seuil_haut  = Q3 + 1,5*IQR       → ?</t>
  </si>
  <si>
    <t>Nb au-dessus du seuil haut  =NB.SI.ENS(T_Ventes[Montant_TTC]; "&gt;"&amp;Seuil_haut)   → ?</t>
  </si>
  <si>
    <t>Nb en dessous du seuil bas  =NB.SI.ENS(T_Ventes[Montant_TTC]; "&lt;"&amp;Seuil_bas)    → ?</t>
  </si>
  <si>
    <t>GRANDE.VALEUR(Tableau13[Montant_TTC]; 1)</t>
  </si>
  <si>
    <t>quantité 100</t>
  </si>
  <si>
    <r>
      <rPr>
        <b/>
        <sz val="11"/>
        <color rgb="FF000000"/>
        <rFont val="Calibri"/>
        <scheme val="minor"/>
      </rPr>
      <t>Question B3.</t>
    </r>
    <r>
      <rPr>
        <sz val="11"/>
        <color rgb="FF000000"/>
        <rFont val="Calibri"/>
        <scheme val="minor"/>
      </rPr>
      <t xml:space="preserve"> Le seuil bas est négatif. Est-ce un bug ? Que faut-il en conclure sur la forme de la distribution ?</t>
    </r>
  </si>
  <si>
    <t>Ce n'est pas un bug, c'est dû à la soustraction opérée dans le calcul.  ~25% - 50%(x1.5), = obligatoirement négatif</t>
  </si>
  <si>
    <t>la forme de la distribution ??? dépasse le cadre ? valeur trop extrêmes -jsp, qui a dit qu'il fallait faire x1.5 aussi, d'où vient cette formule ?</t>
  </si>
  <si>
    <t>-&gt; considérer la valeur minimale : un prix ne peut pas avoir de valeur négative</t>
  </si>
  <si>
    <r>
      <rPr>
        <b/>
        <sz val="11"/>
        <color rgb="FF000000"/>
        <rFont val="Calibri"/>
        <scheme val="minor"/>
      </rPr>
      <t xml:space="preserve">Question B4. </t>
    </r>
    <r>
      <rPr>
        <sz val="11"/>
        <color rgb="FF000000"/>
        <rFont val="Calibri"/>
        <scheme val="minor"/>
      </rPr>
      <t>Pour chacune des trois commandes de quantité 100, dis si tu la gardes, si tu l'écartes ou si tu l'analyses à part — et justifie. Aucune des trois réponses n'est automatiquement fausse ; c'est la justification qui compte.</t>
    </r>
  </si>
  <si>
    <t>je garde mais je l'analyse à part. Quelle est la finalité ? Est-ce le comportement du client particulier lambda que je souhaite analyser ? Auquel cas je créé un un dossier "achats entreprises" avec une colone SIRET de l'entreprise qui commande, et puis le reste</t>
  </si>
  <si>
    <t>B4 · Mesurer l'effet d'une seule ligne (30 min)</t>
  </si>
  <si>
    <t>Mesure</t>
  </si>
  <si>
    <t>Avec</t>
  </si>
  <si>
    <t>Sans</t>
  </si>
  <si>
    <t>Variation en %</t>
  </si>
  <si>
    <t>Écart-type</t>
  </si>
  <si>
    <t>=ECARTYPE.STANDARD(FILTRE(Tableau13[Montant_TTC];Tableau13[ID_commande]&lt;&gt;"CMD-20250566";"")</t>
  </si>
  <si>
    <t>=ECARTYPE.STANDARD(FILTRE(Tableau13[Montant_TTC];Tableau13[ID_commande]"&lt;&gt;CMD-20250566")</t>
  </si>
  <si>
    <t>La formule pour l'écart type que tu m'as donnée ne prend pas en compte la soustraction de la valeur CMD-20250566, je n'arrive pas à la modifier</t>
  </si>
  <si>
    <r>
      <rPr>
        <b/>
        <sz val="11"/>
        <color rgb="FF000000"/>
        <rFont val="Calibri"/>
        <scheme val="minor"/>
      </rPr>
      <t>Question B5.</t>
    </r>
    <r>
      <rPr>
        <sz val="11"/>
        <color rgb="FF000000"/>
        <rFont val="Calibri"/>
        <scheme val="minor"/>
      </rPr>
      <t xml:space="preserve"> Classe ces quatre indicateurs du plus robuste au plus sensible.</t>
    </r>
  </si>
  <si>
    <t>du plus robuste au plus sensible : Médiane, IQR, Moyenne, Ecart-type</t>
  </si>
  <si>
    <t>B5 · La boîte à moustaches (30 min)</t>
  </si>
  <si>
    <t xml:space="preserve">Boite à moustache pas possible sur Excel online, voilà les moustache de Ozzy à la place : </t>
  </si>
  <si>
    <t>B6 · Le cas Arras (30 min)</t>
  </si>
  <si>
    <t>CA toutes commandes</t>
  </si>
  <si>
    <t>CA livré</t>
  </si>
  <si>
    <t>Panier médian</t>
  </si>
  <si>
    <t xml:space="preserve">il n'existe pas de MEDIANE.SI.ENS. </t>
  </si>
  <si>
    <t>=AGREGAT(12; 5; Tableau13[Montant_TTC])</t>
  </si>
  <si>
    <t xml:space="preserve">En ne filtrant que Magasin; valeur dépend de la saisie de filtre </t>
  </si>
  <si>
    <t>alors j'ai recopié dans le tableau à partir de la cellule en dessous</t>
  </si>
  <si>
    <t>Contrôle :</t>
  </si>
  <si>
    <r>
      <rPr>
        <b/>
        <sz val="11"/>
        <color rgb="FF000000"/>
        <rFont val="Calibri"/>
        <scheme val="minor"/>
      </rPr>
      <t>Question B7</t>
    </r>
    <r>
      <rPr>
        <sz val="11"/>
        <color rgb="FF000000"/>
        <rFont val="Calibri"/>
        <scheme val="minor"/>
      </rPr>
      <t>. Arras est premier sur une colonne et dernier sur une autre. Rédige les deux phrases que tu mettrais dans un rapport : celle qui décrit le fait, et celle qui l'explique.</t>
    </r>
  </si>
  <si>
    <t xml:space="preserve">Le magasin d'Arras est le premier en terme de chiffre d'affaire toutes commandes cumulées, et le dernier en terme de chiffre d'affaire des commandes livrées. </t>
  </si>
  <si>
    <r>
      <rPr>
        <sz val="11"/>
        <color rgb="FF000000"/>
        <rFont val="Calibri"/>
      </rPr>
      <t xml:space="preserve">Cela s'explique par un plus grand nombre de commandes annulées, retournées ou en cours, que dans les autres magasins (tableaux encadrés </t>
    </r>
    <r>
      <rPr>
        <sz val="11"/>
        <color rgb="FFC00000"/>
        <rFont val="Calibri"/>
      </rPr>
      <t>rouges</t>
    </r>
    <r>
      <rPr>
        <sz val="11"/>
        <color rgb="FF000000"/>
        <rFont val="Calibri"/>
      </rPr>
      <t xml:space="preserve"> pour preuve). </t>
    </r>
  </si>
  <si>
    <t>10 lignes maximum répondant à : « que faut-il retenir de ces 613 commandes, et quel chiffre unique donneriez-vous à la direction ? »</t>
  </si>
  <si>
    <t xml:space="preserve">C'est difficile de répondre à ces questions sans avoir de problématique de recherche. </t>
  </si>
  <si>
    <t xml:space="preserve">Dans une démarche descriptive / data driven, j'énumèrerais l'étendue des données : Montant_TTC. </t>
  </si>
  <si>
    <t>Cette colonne semble la plus parlante pour témoigner de variations temporelles/géographiques</t>
  </si>
  <si>
    <t>Si je ne devais donner qu'un chiffre à la direction, ce serait probablement le taux d'annulation dans la boutique d'Arras, par rapport aux autres magasin : il y a une investigation à mener dans cette boutique pour expliquer cette anomalie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</si>
</sst>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0.00\ &quot;€&quot;;[Red]\-#,##0.00\ &quot;€&quot;"/>
    <numFmt numFmtId="164" formatCode="yyyy\-mm\-dd\ hh:mm:ss"/>
    <numFmt numFmtId="165" formatCode="#\ ##0\ \€"/>
    <numFmt numFmtId="166" formatCode="#\ ##0.00\ \€"/>
    <numFmt numFmtId="167" formatCode="0\ %"/>
    <numFmt numFmtId="168" formatCode="#,##0.00\ &quot;€&quot;"/>
  </numFmts>
  <fonts count="16">
    <font>
      <sz val="11"/>
      <color theme="1"/>
      <name val="Calibri"/>
      <family val="2"/>
      <scheme val="minor"/>
    </font>
    <font>
      <b/>
      <sz val="11"/>
      <color rgb="FFFFFFFF"/>
      <name val="Calibri"/>
    </font>
    <font>
      <sz val="11"/>
      <color rgb="FF000000"/>
      <name val="Calibri"/>
      <scheme val="minor"/>
    </font>
    <font>
      <b/>
      <sz val="11"/>
      <color rgb="FF000000"/>
      <name val="Calibri"/>
      <scheme val="minor"/>
    </font>
    <font>
      <b/>
      <sz val="11"/>
      <color theme="1"/>
      <name val="Calibri"/>
      <family val="2"/>
      <scheme val="minor"/>
    </font>
    <font>
      <b/>
      <sz val="14"/>
      <color theme="1"/>
      <name val="Calibri"/>
      <family val="2"/>
      <scheme val="minor"/>
    </font>
    <font>
      <sz val="11"/>
      <color rgb="FF242424"/>
      <name val="Consolas"/>
      <charset val="1"/>
    </font>
    <font>
      <sz val="11"/>
      <color rgb="FF000000"/>
      <name val="Calibri"/>
      <charset val="1"/>
    </font>
    <font>
      <b/>
      <sz val="12"/>
      <color theme="1"/>
      <name val="Google Sans"/>
      <charset val="1"/>
    </font>
    <font>
      <b/>
      <sz val="16"/>
      <color theme="1"/>
      <name val="Calibri"/>
      <family val="2"/>
      <scheme val="minor"/>
    </font>
    <font>
      <sz val="11"/>
      <color rgb="FF242424"/>
      <name val="Aptos Narrow"/>
      <charset val="1"/>
    </font>
    <font>
      <sz val="11"/>
      <color rgb="FF00B050"/>
      <name val="Calibri"/>
      <scheme val="minor"/>
    </font>
    <font>
      <sz val="11"/>
      <color rgb="FFC00000"/>
      <name val="Calibri"/>
      <scheme val="minor"/>
    </font>
    <font>
      <sz val="11"/>
      <color rgb="FF000000"/>
      <name val="Calibri"/>
    </font>
    <font>
      <sz val="11"/>
      <color rgb="FFC00000"/>
      <name val="Calibri"/>
    </font>
    <font>
      <sz val="11"/>
      <color theme="1"/>
      <name val="Calibri"/>
    </font>
  </fonts>
  <fills count="5">
    <fill>
      <patternFill patternType="none"/>
    </fill>
    <fill>
      <patternFill patternType="gray125"/>
    </fill>
    <fill>
      <patternFill patternType="solid">
        <fgColor rgb="FF1F4E79"/>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style="medium">
        <color rgb="FF000000"/>
      </top>
      <bottom/>
      <diagonal/>
    </border>
    <border>
      <left/>
      <right/>
      <top style="thin">
        <color rgb="FF000000"/>
      </top>
      <bottom/>
      <diagonal/>
    </border>
    <border>
      <left/>
      <right/>
      <top/>
      <bottom style="double">
        <color rgb="FF000000"/>
      </bottom>
      <diagonal/>
    </border>
    <border>
      <left style="medium">
        <color rgb="FF000000"/>
      </left>
      <right style="medium">
        <color rgb="FF000000"/>
      </right>
      <top style="thin">
        <color rgb="FF000000"/>
      </top>
      <bottom style="thin">
        <color rgb="FF00000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style="thin">
        <color rgb="FFC00000"/>
      </right>
      <top/>
      <bottom style="thin">
        <color rgb="FFC00000"/>
      </bottom>
      <diagonal/>
    </border>
    <border>
      <left style="thin">
        <color rgb="FFC00000"/>
      </left>
      <right style="thin">
        <color rgb="FFC00000"/>
      </right>
      <top style="thin">
        <color rgb="FFC00000"/>
      </top>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74">
    <xf numFmtId="0" fontId="0" fillId="0" borderId="0" xfId="0"/>
    <xf numFmtId="164" fontId="0" fillId="0" borderId="0" xfId="0" applyNumberFormat="1"/>
    <xf numFmtId="0" fontId="1" fillId="2" borderId="0" xfId="0" applyFont="1" applyFill="1" applyAlignment="1">
      <alignment vertical="center" wrapText="1"/>
    </xf>
    <xf numFmtId="165" fontId="0" fillId="0" borderId="0" xfId="0" applyNumberFormat="1"/>
    <xf numFmtId="167" fontId="0" fillId="0" borderId="0" xfId="0" applyNumberFormat="1"/>
    <xf numFmtId="166" fontId="0" fillId="0" borderId="0" xfId="0" applyNumberFormat="1"/>
    <xf numFmtId="0" fontId="2" fillId="0" borderId="1" xfId="0" applyFont="1" applyBorder="1"/>
    <xf numFmtId="0" fontId="0" fillId="0" borderId="1" xfId="0" applyBorder="1"/>
    <xf numFmtId="0" fontId="3"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2" fillId="0" borderId="5" xfId="0" applyFont="1" applyBorder="1"/>
    <xf numFmtId="0" fontId="0" fillId="0" borderId="5" xfId="0" applyBorder="1"/>
    <xf numFmtId="0" fontId="4" fillId="0" borderId="8" xfId="0" applyFont="1" applyBorder="1"/>
    <xf numFmtId="0" fontId="4" fillId="0" borderId="9" xfId="0" applyFont="1" applyBorder="1"/>
    <xf numFmtId="0" fontId="4" fillId="0" borderId="10" xfId="0" applyFont="1" applyBorder="1"/>
    <xf numFmtId="0" fontId="4" fillId="0" borderId="2" xfId="0" applyFont="1" applyBorder="1"/>
    <xf numFmtId="0" fontId="4" fillId="0" borderId="11" xfId="0" applyFont="1" applyBorder="1"/>
    <xf numFmtId="0" fontId="4" fillId="0" borderId="4" xfId="0" applyFont="1" applyBorder="1"/>
    <xf numFmtId="168" fontId="0" fillId="0" borderId="7" xfId="0" applyNumberFormat="1" applyBorder="1"/>
    <xf numFmtId="168" fontId="0" fillId="0" borderId="5" xfId="0" applyNumberFormat="1" applyBorder="1"/>
    <xf numFmtId="168" fontId="0" fillId="0" borderId="6" xfId="0" applyNumberFormat="1" applyBorder="1"/>
    <xf numFmtId="168" fontId="0" fillId="0" borderId="1" xfId="0" applyNumberFormat="1" applyBorder="1"/>
    <xf numFmtId="2" fontId="0" fillId="0" borderId="5" xfId="0" applyNumberFormat="1" applyBorder="1"/>
    <xf numFmtId="2" fontId="0" fillId="0" borderId="1" xfId="0" applyNumberFormat="1" applyBorder="1"/>
    <xf numFmtId="0" fontId="5" fillId="0" borderId="0" xfId="0" applyFont="1"/>
    <xf numFmtId="166" fontId="0" fillId="0" borderId="1" xfId="0" applyNumberFormat="1" applyBorder="1"/>
    <xf numFmtId="10" fontId="0" fillId="0" borderId="0" xfId="0" applyNumberFormat="1"/>
    <xf numFmtId="0" fontId="4" fillId="0" borderId="2" xfId="0" applyFont="1" applyBorder="1" applyAlignment="1">
      <alignment horizontal="center"/>
    </xf>
    <xf numFmtId="0" fontId="4" fillId="0" borderId="5" xfId="0" applyFont="1" applyBorder="1"/>
    <xf numFmtId="0" fontId="4" fillId="0" borderId="1" xfId="0" applyFont="1" applyBorder="1"/>
    <xf numFmtId="0" fontId="0" fillId="0" borderId="12" xfId="0" applyBorder="1"/>
    <xf numFmtId="0" fontId="4" fillId="0" borderId="13" xfId="0" applyFont="1" applyBorder="1" applyAlignment="1">
      <alignment horizontal="center"/>
    </xf>
    <xf numFmtId="168" fontId="2" fillId="0" borderId="1" xfId="0" applyNumberFormat="1" applyFont="1" applyBorder="1"/>
    <xf numFmtId="0" fontId="0" fillId="0" borderId="0" xfId="0" applyAlignment="1">
      <alignment horizontal="center"/>
    </xf>
    <xf numFmtId="0" fontId="6" fillId="0" borderId="0" xfId="0" applyFont="1"/>
    <xf numFmtId="0" fontId="7" fillId="0" borderId="0" xfId="0" applyFont="1"/>
    <xf numFmtId="0" fontId="8" fillId="0" borderId="0" xfId="0" applyFont="1"/>
    <xf numFmtId="0" fontId="0" fillId="0" borderId="0" xfId="0" quotePrefix="1"/>
    <xf numFmtId="0" fontId="9" fillId="0" borderId="0" xfId="0" applyFont="1"/>
    <xf numFmtId="168" fontId="0" fillId="0" borderId="0" xfId="0" applyNumberFormat="1"/>
    <xf numFmtId="0" fontId="0" fillId="0" borderId="14" xfId="0" applyBorder="1"/>
    <xf numFmtId="0" fontId="0" fillId="0" borderId="15" xfId="0" applyBorder="1"/>
    <xf numFmtId="0" fontId="0" fillId="0" borderId="2" xfId="0" applyBorder="1"/>
    <xf numFmtId="0" fontId="0" fillId="0" borderId="4" xfId="0" applyBorder="1"/>
    <xf numFmtId="0" fontId="0" fillId="0" borderId="8" xfId="0" applyBorder="1"/>
    <xf numFmtId="0" fontId="0" fillId="0" borderId="16" xfId="0" applyBorder="1"/>
    <xf numFmtId="0" fontId="0" fillId="0" borderId="10" xfId="0" applyBorder="1"/>
    <xf numFmtId="0" fontId="0" fillId="0" borderId="7" xfId="0" applyBorder="1"/>
    <xf numFmtId="0" fontId="0" fillId="0" borderId="6" xfId="0" applyBorder="1"/>
    <xf numFmtId="0" fontId="0" fillId="3" borderId="17" xfId="0" applyFill="1" applyBorder="1"/>
    <xf numFmtId="0" fontId="0" fillId="4" borderId="17" xfId="0" applyFill="1" applyBorder="1"/>
    <xf numFmtId="0" fontId="0" fillId="3" borderId="18" xfId="0" applyFill="1" applyBorder="1"/>
    <xf numFmtId="0" fontId="0" fillId="4" borderId="18" xfId="0" applyFill="1" applyBorder="1"/>
    <xf numFmtId="0" fontId="10" fillId="0" borderId="0" xfId="0" applyFont="1"/>
    <xf numFmtId="0" fontId="2" fillId="0" borderId="0" xfId="0" applyFont="1"/>
    <xf numFmtId="0" fontId="11" fillId="0" borderId="0" xfId="0" applyFont="1"/>
    <xf numFmtId="8" fontId="0" fillId="0" borderId="1" xfId="0" applyNumberFormat="1" applyBorder="1"/>
    <xf numFmtId="9" fontId="0" fillId="0" borderId="1" xfId="0" applyNumberFormat="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15" fillId="0" borderId="0" xfId="0" applyFont="1"/>
    <xf numFmtId="0" fontId="12" fillId="0" borderId="0" xfId="0" applyFont="1"/>
    <xf numFmtId="168" fontId="0" fillId="0" borderId="28" xfId="0" applyNumberFormat="1" applyBorder="1"/>
    <xf numFmtId="0" fontId="4" fillId="0" borderId="29" xfId="0" applyFont="1" applyBorder="1"/>
    <xf numFmtId="166" fontId="0" fillId="0" borderId="28" xfId="0" applyNumberFormat="1" applyBorder="1"/>
  </cellXfs>
  <cellStyles count="1">
    <cellStyle name="Normal" xfId="0" builtinId="0"/>
  </cellStyles>
  <dxfs count="5">
    <dxf>
      <numFmt numFmtId="166" formatCode="#\ ##0.00\ \€"/>
    </dxf>
    <dxf>
      <numFmt numFmtId="167" formatCode="0\ %"/>
    </dxf>
    <dxf>
      <numFmt numFmtId="165" formatCode="#\ ##0\ \€"/>
    </dxf>
    <dxf>
      <numFmt numFmtId="164" formatCode="yyyy\-mm\-dd\ hh:mm:ss"/>
    </dxf>
    <dxf>
      <font>
        <b/>
        <i val="0"/>
        <strike val="0"/>
        <condense val="0"/>
        <extend val="0"/>
        <outline val="0"/>
        <shadow val="0"/>
        <u val="none"/>
        <vertAlign val="baseline"/>
        <sz val="11"/>
        <color rgb="FFFFFFFF"/>
        <name val="Calibri"/>
        <scheme val="none"/>
      </font>
      <fill>
        <patternFill patternType="solid">
          <fgColor indexed="64"/>
          <bgColor rgb="FF1F4E79"/>
        </patternFill>
      </fill>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133350</xdr:colOff>
      <xdr:row>38</xdr:row>
      <xdr:rowOff>180975</xdr:rowOff>
    </xdr:from>
    <xdr:to>
      <xdr:col>2</xdr:col>
      <xdr:colOff>1162050</xdr:colOff>
      <xdr:row>44</xdr:row>
      <xdr:rowOff>180975</xdr:rowOff>
    </xdr:to>
    <xdr:pic>
      <xdr:nvPicPr>
        <xdr:cNvPr id="4" name="Image 3">
          <a:extLst>
            <a:ext uri="{FF2B5EF4-FFF2-40B4-BE49-F238E27FC236}">
              <a16:creationId xmlns:a16="http://schemas.microsoft.com/office/drawing/2014/main" id="{2B03688D-BF42-2BE5-5985-3C1A1322073C}"/>
            </a:ext>
            <a:ext uri="{147F2762-F138-4A5C-976F-8EAC2B608ADB}">
              <a16:predDERef xmlns:a16="http://schemas.microsoft.com/office/drawing/2014/main" pred="{47EBE3C8-BA2D-668E-DE74-E71B18B0702C}"/>
            </a:ext>
          </a:extLst>
        </xdr:cNvPr>
        <xdr:cNvPicPr>
          <a:picLocks noChangeAspect="1"/>
        </xdr:cNvPicPr>
      </xdr:nvPicPr>
      <xdr:blipFill>
        <a:blip xmlns:r="http://schemas.openxmlformats.org/officeDocument/2006/relationships" r:embed="rId1"/>
        <a:stretch>
          <a:fillRect/>
        </a:stretch>
      </xdr:blipFill>
      <xdr:spPr>
        <a:xfrm>
          <a:off x="5276850" y="7639050"/>
          <a:ext cx="1028700" cy="1143000"/>
        </a:xfrm>
        <a:prstGeom prst="rect">
          <a:avLst/>
        </a:prstGeom>
      </xdr:spPr>
    </xdr:pic>
    <xdr:clientData/>
  </xdr:twoCellAnchor>
  <xdr:twoCellAnchor editAs="oneCell">
    <xdr:from>
      <xdr:col>2</xdr:col>
      <xdr:colOff>0</xdr:colOff>
      <xdr:row>68</xdr:row>
      <xdr:rowOff>0</xdr:rowOff>
    </xdr:from>
    <xdr:to>
      <xdr:col>2</xdr:col>
      <xdr:colOff>923925</xdr:colOff>
      <xdr:row>71</xdr:row>
      <xdr:rowOff>19050</xdr:rowOff>
    </xdr:to>
    <xdr:pic>
      <xdr:nvPicPr>
        <xdr:cNvPr id="5" name="Image 4">
          <a:extLst>
            <a:ext uri="{FF2B5EF4-FFF2-40B4-BE49-F238E27FC236}">
              <a16:creationId xmlns:a16="http://schemas.microsoft.com/office/drawing/2014/main" id="{8F9C21D3-B10B-E5BE-A8B2-6B4C1996422D}"/>
            </a:ext>
            <a:ext uri="{147F2762-F138-4A5C-976F-8EAC2B608ADB}">
              <a16:predDERef xmlns:a16="http://schemas.microsoft.com/office/drawing/2014/main" pred="{2B03688D-BF42-2BE5-5985-3C1A1322073C}"/>
            </a:ext>
          </a:extLst>
        </xdr:cNvPr>
        <xdr:cNvPicPr>
          <a:picLocks noChangeAspect="1"/>
        </xdr:cNvPicPr>
      </xdr:nvPicPr>
      <xdr:blipFill>
        <a:blip xmlns:r="http://schemas.openxmlformats.org/officeDocument/2006/relationships" r:embed="rId2"/>
        <a:stretch>
          <a:fillRect/>
        </a:stretch>
      </xdr:blipFill>
      <xdr:spPr>
        <a:xfrm>
          <a:off x="5143500" y="13220700"/>
          <a:ext cx="923925" cy="6381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25EDE1-7A20-42A6-AFE8-4152AA3B0446}" name="Tableau13" displayName="Tableau13" ref="A1:M614" totalsRowShown="0" headerRowDxfId="4">
  <autoFilter ref="A1:M614" xr:uid="{00000000-0009-0000-0000-000000000000}"/>
  <sortState xmlns:xlrd2="http://schemas.microsoft.com/office/spreadsheetml/2017/richdata2" ref="A2:M614">
    <sortCondition descending="1" ref="K1:K614"/>
  </sortState>
  <tableColumns count="13">
    <tableColumn id="1" xr3:uid="{2020793B-3B8D-483C-8490-2A5FC5E9D260}" name="ID_commande"/>
    <tableColumn id="2" xr3:uid="{D2A34EF9-EED2-465D-B02F-C05B0A401819}" name="Date_commande" dataDxfId="3"/>
    <tableColumn id="3" xr3:uid="{D995AE07-4471-4AC2-8C3D-4ED3D5ADA99F}" name="Magasin"/>
    <tableColumn id="4" xr3:uid="{191E6854-9262-428E-8554-6B6711E07930}" name="Departement"/>
    <tableColumn id="5" xr3:uid="{DAFEBB4E-F5EE-4071-9748-430074912A30}" name="Categorie"/>
    <tableColumn id="6" xr3:uid="{DA5351BA-1A79-4979-BF84-1F937EC90D59}" name="Produit"/>
    <tableColumn id="7" xr3:uid="{C4C3C295-B5E1-4330-A2EC-88AC4F5CDBAA}" name="Canal"/>
    <tableColumn id="8" xr3:uid="{1F91ED7C-BB68-4BF7-AEE8-A22476F5A5EB}" name="Quantite"/>
    <tableColumn id="9" xr3:uid="{87FC22B8-F723-458C-9BC0-EA38EF3A2740}" name="Prix_unitaire_TTC" dataDxfId="2"/>
    <tableColumn id="10" xr3:uid="{B89BD757-C09E-4BB0-A33B-F5DC6CA519B4}" name="Remise" dataDxfId="1"/>
    <tableColumn id="11" xr3:uid="{88546251-33CD-4382-9445-501A8BD52786}" name="Montant_TTC" dataDxfId="0"/>
    <tableColumn id="12" xr3:uid="{F44CA10D-D734-4034-8FAC-D61BAF7724FA}" name="Statut"/>
    <tableColumn id="13" xr3:uid="{6C85F72B-7116-4FAD-8A97-8B7162A19D9D}" name="Note_cli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E3C55-1332-4F7B-AB09-949887949F3F}">
  <dimension ref="A1:M614"/>
  <sheetViews>
    <sheetView workbookViewId="0">
      <pane ySplit="1" topLeftCell="A2" activePane="bottomLeft" state="frozen"/>
      <selection pane="bottomLeft"/>
    </sheetView>
  </sheetViews>
  <sheetFormatPr defaultRowHeight="15"/>
  <cols>
    <col min="1" max="1" width="15" customWidth="1"/>
    <col min="2" max="2" width="22" customWidth="1"/>
    <col min="3" max="3" width="15" customWidth="1"/>
    <col min="4" max="4" width="16" customWidth="1"/>
    <col min="5" max="5" width="14" customWidth="1"/>
    <col min="6" max="6" width="27" customWidth="1"/>
    <col min="7" max="7" width="18" customWidth="1"/>
    <col min="8" max="8" width="12" customWidth="1"/>
    <col min="9" max="9" width="20" customWidth="1"/>
    <col min="10" max="10" width="12" customWidth="1"/>
    <col min="11" max="11" width="14" customWidth="1"/>
    <col min="12" max="12" width="12" customWidth="1"/>
    <col min="13" max="13" width="14"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t="s">
        <v>13</v>
      </c>
      <c r="B2" s="1">
        <v>45658</v>
      </c>
      <c r="C2" t="s">
        <v>14</v>
      </c>
      <c r="D2" t="s">
        <v>15</v>
      </c>
      <c r="E2" t="s">
        <v>16</v>
      </c>
      <c r="F2" t="s">
        <v>17</v>
      </c>
      <c r="G2" t="s">
        <v>2</v>
      </c>
      <c r="H2">
        <v>1</v>
      </c>
      <c r="I2" s="3">
        <v>19</v>
      </c>
      <c r="J2" s="4">
        <v>0.15</v>
      </c>
      <c r="K2" s="5">
        <v>16.149999999999999</v>
      </c>
      <c r="L2" t="s">
        <v>18</v>
      </c>
    </row>
    <row r="3" spans="1:13">
      <c r="A3" t="s">
        <v>19</v>
      </c>
      <c r="B3" s="1">
        <v>45659</v>
      </c>
      <c r="C3" t="s">
        <v>14</v>
      </c>
      <c r="D3" t="s">
        <v>15</v>
      </c>
      <c r="E3" t="s">
        <v>20</v>
      </c>
      <c r="F3" t="s">
        <v>21</v>
      </c>
      <c r="G3" t="s">
        <v>22</v>
      </c>
      <c r="H3">
        <v>1</v>
      </c>
      <c r="I3" s="3">
        <v>69</v>
      </c>
      <c r="J3" s="4">
        <v>0</v>
      </c>
      <c r="K3" s="5">
        <v>69</v>
      </c>
      <c r="L3" t="s">
        <v>23</v>
      </c>
    </row>
    <row r="4" spans="1:13">
      <c r="A4" t="s">
        <v>24</v>
      </c>
      <c r="B4" s="1">
        <v>45659</v>
      </c>
      <c r="C4" t="s">
        <v>25</v>
      </c>
      <c r="D4" t="s">
        <v>15</v>
      </c>
      <c r="E4" t="s">
        <v>26</v>
      </c>
      <c r="F4" t="s">
        <v>27</v>
      </c>
      <c r="G4" t="s">
        <v>22</v>
      </c>
      <c r="H4">
        <v>1</v>
      </c>
      <c r="I4" s="3">
        <v>699</v>
      </c>
      <c r="J4" s="4">
        <v>0.15</v>
      </c>
      <c r="K4" s="5">
        <v>594.15</v>
      </c>
      <c r="L4" t="s">
        <v>23</v>
      </c>
      <c r="M4">
        <v>4</v>
      </c>
    </row>
    <row r="5" spans="1:13">
      <c r="A5" t="s">
        <v>28</v>
      </c>
      <c r="B5" s="1">
        <v>45659</v>
      </c>
      <c r="C5" t="s">
        <v>14</v>
      </c>
      <c r="D5" t="s">
        <v>15</v>
      </c>
      <c r="E5" t="s">
        <v>26</v>
      </c>
      <c r="F5" t="s">
        <v>29</v>
      </c>
      <c r="G5" t="s">
        <v>2</v>
      </c>
      <c r="H5">
        <v>1</v>
      </c>
      <c r="I5" s="3">
        <v>549</v>
      </c>
      <c r="J5" s="4">
        <v>0</v>
      </c>
      <c r="K5" s="5">
        <v>549</v>
      </c>
      <c r="L5" t="s">
        <v>23</v>
      </c>
      <c r="M5">
        <v>4</v>
      </c>
    </row>
    <row r="6" spans="1:13">
      <c r="A6" t="s">
        <v>30</v>
      </c>
      <c r="B6" s="1">
        <v>45661</v>
      </c>
      <c r="C6" t="s">
        <v>31</v>
      </c>
      <c r="D6" t="s">
        <v>15</v>
      </c>
      <c r="E6" t="s">
        <v>16</v>
      </c>
      <c r="F6" t="s">
        <v>32</v>
      </c>
      <c r="G6" t="s">
        <v>2</v>
      </c>
      <c r="H6">
        <v>1</v>
      </c>
      <c r="I6" s="3">
        <v>89</v>
      </c>
      <c r="J6" s="4">
        <v>0</v>
      </c>
      <c r="K6" s="5">
        <v>89</v>
      </c>
      <c r="L6" t="s">
        <v>23</v>
      </c>
      <c r="M6">
        <v>3</v>
      </c>
    </row>
    <row r="7" spans="1:13">
      <c r="A7" t="s">
        <v>33</v>
      </c>
      <c r="B7" s="1">
        <v>45661</v>
      </c>
      <c r="C7" t="s">
        <v>34</v>
      </c>
      <c r="D7" t="s">
        <v>35</v>
      </c>
      <c r="E7" t="s">
        <v>26</v>
      </c>
      <c r="F7" t="s">
        <v>29</v>
      </c>
      <c r="G7" t="s">
        <v>2</v>
      </c>
      <c r="H7">
        <v>1</v>
      </c>
      <c r="I7" s="3">
        <v>549</v>
      </c>
      <c r="J7" s="4">
        <v>0</v>
      </c>
      <c r="K7" s="5">
        <v>549</v>
      </c>
      <c r="L7" t="s">
        <v>23</v>
      </c>
      <c r="M7">
        <v>5</v>
      </c>
    </row>
    <row r="8" spans="1:13">
      <c r="A8" t="s">
        <v>36</v>
      </c>
      <c r="B8" s="1">
        <v>45661</v>
      </c>
      <c r="C8" t="s">
        <v>31</v>
      </c>
      <c r="D8" t="s">
        <v>15</v>
      </c>
      <c r="E8" t="s">
        <v>26</v>
      </c>
      <c r="F8" t="s">
        <v>27</v>
      </c>
      <c r="G8" t="s">
        <v>37</v>
      </c>
      <c r="H8">
        <v>1</v>
      </c>
      <c r="I8" s="3">
        <v>699</v>
      </c>
      <c r="J8" s="4">
        <v>0.1</v>
      </c>
      <c r="K8" s="5">
        <v>629.1</v>
      </c>
      <c r="L8" t="s">
        <v>38</v>
      </c>
      <c r="M8">
        <v>5</v>
      </c>
    </row>
    <row r="9" spans="1:13">
      <c r="A9" t="s">
        <v>39</v>
      </c>
      <c r="B9" s="1">
        <v>45662</v>
      </c>
      <c r="C9" t="s">
        <v>40</v>
      </c>
      <c r="D9" t="s">
        <v>41</v>
      </c>
      <c r="E9" t="s">
        <v>20</v>
      </c>
      <c r="F9" t="s">
        <v>42</v>
      </c>
      <c r="G9" t="s">
        <v>22</v>
      </c>
      <c r="H9">
        <v>1</v>
      </c>
      <c r="I9" s="3">
        <v>59</v>
      </c>
      <c r="J9" s="4">
        <v>0.05</v>
      </c>
      <c r="K9" s="5">
        <v>56.05</v>
      </c>
      <c r="L9" t="s">
        <v>23</v>
      </c>
      <c r="M9">
        <v>5</v>
      </c>
    </row>
    <row r="10" spans="1:13">
      <c r="A10" t="s">
        <v>43</v>
      </c>
      <c r="B10" s="1">
        <v>45662</v>
      </c>
      <c r="C10" t="s">
        <v>44</v>
      </c>
      <c r="D10" t="s">
        <v>45</v>
      </c>
      <c r="E10" t="s">
        <v>16</v>
      </c>
      <c r="F10" t="s">
        <v>46</v>
      </c>
      <c r="G10" t="s">
        <v>2</v>
      </c>
      <c r="H10">
        <v>2</v>
      </c>
      <c r="I10" s="3">
        <v>29</v>
      </c>
      <c r="J10" s="4">
        <v>0</v>
      </c>
      <c r="K10" s="5">
        <v>58</v>
      </c>
      <c r="L10" t="s">
        <v>23</v>
      </c>
      <c r="M10">
        <v>5</v>
      </c>
    </row>
    <row r="11" spans="1:13">
      <c r="A11" t="s">
        <v>47</v>
      </c>
      <c r="B11" s="1">
        <v>45663</v>
      </c>
      <c r="C11" t="s">
        <v>14</v>
      </c>
      <c r="D11" t="s">
        <v>15</v>
      </c>
      <c r="E11" t="s">
        <v>48</v>
      </c>
      <c r="F11" t="s">
        <v>49</v>
      </c>
      <c r="G11" t="s">
        <v>22</v>
      </c>
      <c r="H11">
        <v>1</v>
      </c>
      <c r="I11" s="3">
        <v>3990</v>
      </c>
      <c r="J11" s="4">
        <v>0</v>
      </c>
      <c r="K11" s="5">
        <v>3990</v>
      </c>
      <c r="L11" t="s">
        <v>23</v>
      </c>
      <c r="M11">
        <v>4</v>
      </c>
    </row>
    <row r="12" spans="1:13">
      <c r="A12" t="s">
        <v>50</v>
      </c>
      <c r="B12" s="1">
        <v>45663</v>
      </c>
      <c r="C12" t="s">
        <v>34</v>
      </c>
      <c r="D12" t="s">
        <v>35</v>
      </c>
      <c r="E12" t="s">
        <v>20</v>
      </c>
      <c r="F12" t="s">
        <v>42</v>
      </c>
      <c r="G12" t="s">
        <v>22</v>
      </c>
      <c r="H12">
        <v>1</v>
      </c>
      <c r="I12" s="3">
        <v>59</v>
      </c>
      <c r="J12" s="4">
        <v>0.1</v>
      </c>
      <c r="K12" s="5">
        <v>53.1</v>
      </c>
      <c r="L12" t="s">
        <v>51</v>
      </c>
    </row>
    <row r="13" spans="1:13">
      <c r="A13" t="s">
        <v>52</v>
      </c>
      <c r="B13" s="1">
        <v>45666</v>
      </c>
      <c r="C13" t="s">
        <v>34</v>
      </c>
      <c r="D13" t="s">
        <v>35</v>
      </c>
      <c r="E13" t="s">
        <v>20</v>
      </c>
      <c r="F13" t="s">
        <v>42</v>
      </c>
      <c r="G13" t="s">
        <v>2</v>
      </c>
      <c r="H13">
        <v>1</v>
      </c>
      <c r="I13" s="3">
        <v>59</v>
      </c>
      <c r="J13" s="4">
        <v>0.2</v>
      </c>
      <c r="K13" s="5">
        <v>47.2</v>
      </c>
      <c r="L13" t="s">
        <v>23</v>
      </c>
      <c r="M13">
        <v>3</v>
      </c>
    </row>
    <row r="14" spans="1:13">
      <c r="A14" t="s">
        <v>53</v>
      </c>
      <c r="B14" s="1">
        <v>45666</v>
      </c>
      <c r="C14" t="s">
        <v>54</v>
      </c>
      <c r="D14" t="s">
        <v>35</v>
      </c>
      <c r="E14" t="s">
        <v>20</v>
      </c>
      <c r="F14" t="s">
        <v>55</v>
      </c>
      <c r="G14" t="s">
        <v>2</v>
      </c>
      <c r="H14">
        <v>1</v>
      </c>
      <c r="I14" s="3">
        <v>35</v>
      </c>
      <c r="J14" s="4">
        <v>0</v>
      </c>
      <c r="K14" s="5">
        <v>35</v>
      </c>
      <c r="L14" t="s">
        <v>18</v>
      </c>
      <c r="M14">
        <v>3</v>
      </c>
    </row>
    <row r="15" spans="1:13">
      <c r="A15" t="s">
        <v>56</v>
      </c>
      <c r="B15" s="1">
        <v>45667</v>
      </c>
      <c r="C15" t="s">
        <v>57</v>
      </c>
      <c r="D15" t="s">
        <v>15</v>
      </c>
      <c r="E15" t="s">
        <v>16</v>
      </c>
      <c r="F15" t="s">
        <v>46</v>
      </c>
      <c r="G15" t="s">
        <v>2</v>
      </c>
      <c r="H15">
        <v>1</v>
      </c>
      <c r="I15" s="3">
        <v>29</v>
      </c>
      <c r="J15" s="4">
        <v>0</v>
      </c>
      <c r="K15" s="5">
        <v>29</v>
      </c>
      <c r="L15" t="s">
        <v>23</v>
      </c>
      <c r="M15">
        <v>4</v>
      </c>
    </row>
    <row r="16" spans="1:13">
      <c r="A16" t="s">
        <v>58</v>
      </c>
      <c r="B16" s="1">
        <v>45667</v>
      </c>
      <c r="C16" t="s">
        <v>25</v>
      </c>
      <c r="D16" t="s">
        <v>15</v>
      </c>
      <c r="E16" t="s">
        <v>16</v>
      </c>
      <c r="F16" t="s">
        <v>46</v>
      </c>
      <c r="G16" t="s">
        <v>2</v>
      </c>
      <c r="H16">
        <v>1</v>
      </c>
      <c r="I16" s="3">
        <v>29</v>
      </c>
      <c r="J16" s="4">
        <v>0.1</v>
      </c>
      <c r="K16" s="5">
        <v>26.1</v>
      </c>
      <c r="L16" t="s">
        <v>23</v>
      </c>
      <c r="M16">
        <v>4</v>
      </c>
    </row>
    <row r="17" spans="1:13">
      <c r="A17" t="s">
        <v>59</v>
      </c>
      <c r="B17" s="1">
        <v>45668</v>
      </c>
      <c r="C17" t="s">
        <v>40</v>
      </c>
      <c r="D17" t="s">
        <v>41</v>
      </c>
      <c r="E17" t="s">
        <v>26</v>
      </c>
      <c r="F17" t="s">
        <v>60</v>
      </c>
      <c r="G17" t="s">
        <v>22</v>
      </c>
      <c r="H17">
        <v>1</v>
      </c>
      <c r="I17" s="3">
        <v>1890</v>
      </c>
      <c r="J17" s="4">
        <v>0.1</v>
      </c>
      <c r="K17" s="5">
        <v>1701</v>
      </c>
      <c r="L17" t="s">
        <v>23</v>
      </c>
      <c r="M17">
        <v>5</v>
      </c>
    </row>
    <row r="18" spans="1:13">
      <c r="A18" t="s">
        <v>61</v>
      </c>
      <c r="B18" s="1">
        <v>45668</v>
      </c>
      <c r="C18" t="s">
        <v>25</v>
      </c>
      <c r="D18" t="s">
        <v>15</v>
      </c>
      <c r="E18" t="s">
        <v>62</v>
      </c>
      <c r="F18" t="s">
        <v>63</v>
      </c>
      <c r="G18" t="s">
        <v>37</v>
      </c>
      <c r="H18">
        <v>1</v>
      </c>
      <c r="I18" s="3">
        <v>2490</v>
      </c>
      <c r="J18" s="4">
        <v>0.1</v>
      </c>
      <c r="K18" s="5">
        <v>2241</v>
      </c>
      <c r="L18" t="s">
        <v>38</v>
      </c>
      <c r="M18">
        <v>4</v>
      </c>
    </row>
    <row r="19" spans="1:13">
      <c r="A19" t="s">
        <v>64</v>
      </c>
      <c r="B19" s="1">
        <v>45668</v>
      </c>
      <c r="C19" t="s">
        <v>54</v>
      </c>
      <c r="D19" t="s">
        <v>35</v>
      </c>
      <c r="E19" t="s">
        <v>48</v>
      </c>
      <c r="F19" t="s">
        <v>65</v>
      </c>
      <c r="G19" t="s">
        <v>2</v>
      </c>
      <c r="H19">
        <v>1</v>
      </c>
      <c r="I19" s="3">
        <v>2590</v>
      </c>
      <c r="J19" s="4">
        <v>0</v>
      </c>
      <c r="K19" s="5">
        <v>2590</v>
      </c>
      <c r="L19" t="s">
        <v>38</v>
      </c>
      <c r="M19">
        <v>4</v>
      </c>
    </row>
    <row r="20" spans="1:13">
      <c r="A20" t="s">
        <v>66</v>
      </c>
      <c r="B20" s="1">
        <v>45668</v>
      </c>
      <c r="C20" t="s">
        <v>14</v>
      </c>
      <c r="D20" t="s">
        <v>15</v>
      </c>
      <c r="E20" t="s">
        <v>62</v>
      </c>
      <c r="F20" t="s">
        <v>63</v>
      </c>
      <c r="G20" t="s">
        <v>2</v>
      </c>
      <c r="H20">
        <v>1</v>
      </c>
      <c r="I20" s="3">
        <v>2490</v>
      </c>
      <c r="J20" s="4">
        <v>0</v>
      </c>
      <c r="K20" s="5">
        <v>2490</v>
      </c>
      <c r="L20" t="s">
        <v>23</v>
      </c>
      <c r="M20">
        <v>5</v>
      </c>
    </row>
    <row r="21" spans="1:13">
      <c r="A21" t="s">
        <v>67</v>
      </c>
      <c r="B21" s="1">
        <v>45668</v>
      </c>
      <c r="C21" t="s">
        <v>25</v>
      </c>
      <c r="D21" t="s">
        <v>15</v>
      </c>
      <c r="E21" t="s">
        <v>26</v>
      </c>
      <c r="F21" t="s">
        <v>29</v>
      </c>
      <c r="G21" t="s">
        <v>22</v>
      </c>
      <c r="H21">
        <v>1</v>
      </c>
      <c r="I21" s="3">
        <v>549</v>
      </c>
      <c r="J21" s="4">
        <v>0.1</v>
      </c>
      <c r="K21" s="5">
        <v>494.1</v>
      </c>
      <c r="L21" t="s">
        <v>23</v>
      </c>
      <c r="M21">
        <v>4</v>
      </c>
    </row>
    <row r="22" spans="1:13">
      <c r="A22" t="s">
        <v>68</v>
      </c>
      <c r="B22" s="1">
        <v>45669</v>
      </c>
      <c r="C22" t="s">
        <v>34</v>
      </c>
      <c r="D22" t="s">
        <v>35</v>
      </c>
      <c r="E22" t="s">
        <v>20</v>
      </c>
      <c r="F22" t="s">
        <v>55</v>
      </c>
      <c r="G22" t="s">
        <v>22</v>
      </c>
      <c r="H22">
        <v>1</v>
      </c>
      <c r="I22" s="3">
        <v>35</v>
      </c>
      <c r="J22" s="4">
        <v>0.05</v>
      </c>
      <c r="K22" s="5">
        <v>33.25</v>
      </c>
      <c r="L22" t="s">
        <v>38</v>
      </c>
      <c r="M22">
        <v>3</v>
      </c>
    </row>
    <row r="23" spans="1:13">
      <c r="A23" t="s">
        <v>69</v>
      </c>
      <c r="B23" s="1">
        <v>45671</v>
      </c>
      <c r="C23" t="s">
        <v>40</v>
      </c>
      <c r="D23" t="s">
        <v>41</v>
      </c>
      <c r="E23" t="s">
        <v>16</v>
      </c>
      <c r="F23" t="s">
        <v>46</v>
      </c>
      <c r="G23" t="s">
        <v>2</v>
      </c>
      <c r="H23">
        <v>1</v>
      </c>
      <c r="I23" s="3">
        <v>29</v>
      </c>
      <c r="J23" s="4">
        <v>0</v>
      </c>
      <c r="K23" s="5">
        <v>29</v>
      </c>
      <c r="L23" t="s">
        <v>18</v>
      </c>
      <c r="M23">
        <v>4</v>
      </c>
    </row>
    <row r="24" spans="1:13">
      <c r="A24" t="s">
        <v>70</v>
      </c>
      <c r="B24" s="1">
        <v>45671</v>
      </c>
      <c r="C24" t="s">
        <v>40</v>
      </c>
      <c r="D24" t="s">
        <v>41</v>
      </c>
      <c r="E24" t="s">
        <v>48</v>
      </c>
      <c r="F24" t="s">
        <v>49</v>
      </c>
      <c r="G24" t="s">
        <v>22</v>
      </c>
      <c r="H24">
        <v>1</v>
      </c>
      <c r="I24" s="3">
        <v>3990</v>
      </c>
      <c r="J24" s="4">
        <v>0.15</v>
      </c>
      <c r="K24" s="5">
        <v>3391.5</v>
      </c>
      <c r="L24" t="s">
        <v>23</v>
      </c>
    </row>
    <row r="25" spans="1:13">
      <c r="A25" t="s">
        <v>71</v>
      </c>
      <c r="B25" s="1">
        <v>45671</v>
      </c>
      <c r="C25" t="s">
        <v>34</v>
      </c>
      <c r="D25" t="s">
        <v>35</v>
      </c>
      <c r="E25" t="s">
        <v>16</v>
      </c>
      <c r="F25" t="s">
        <v>17</v>
      </c>
      <c r="G25" t="s">
        <v>2</v>
      </c>
      <c r="H25">
        <v>1</v>
      </c>
      <c r="I25" s="3">
        <v>19</v>
      </c>
      <c r="J25" s="4">
        <v>0</v>
      </c>
      <c r="K25" s="5">
        <v>19</v>
      </c>
      <c r="L25" t="s">
        <v>23</v>
      </c>
      <c r="M25">
        <v>5</v>
      </c>
    </row>
    <row r="26" spans="1:13">
      <c r="A26" t="s">
        <v>72</v>
      </c>
      <c r="B26" s="1">
        <v>45672</v>
      </c>
      <c r="C26" t="s">
        <v>25</v>
      </c>
      <c r="D26" t="s">
        <v>15</v>
      </c>
      <c r="E26" t="s">
        <v>16</v>
      </c>
      <c r="F26" t="s">
        <v>17</v>
      </c>
      <c r="G26" t="s">
        <v>2</v>
      </c>
      <c r="H26">
        <v>2</v>
      </c>
      <c r="I26" s="3">
        <v>19</v>
      </c>
      <c r="J26" s="4">
        <v>0</v>
      </c>
      <c r="K26" s="5">
        <v>38</v>
      </c>
      <c r="L26" t="s">
        <v>23</v>
      </c>
      <c r="M26">
        <v>4</v>
      </c>
    </row>
    <row r="27" spans="1:13">
      <c r="A27" t="s">
        <v>73</v>
      </c>
      <c r="B27" s="1">
        <v>45672</v>
      </c>
      <c r="C27" t="s">
        <v>25</v>
      </c>
      <c r="D27" t="s">
        <v>15</v>
      </c>
      <c r="E27" t="s">
        <v>20</v>
      </c>
      <c r="F27" t="s">
        <v>42</v>
      </c>
      <c r="G27" t="s">
        <v>37</v>
      </c>
      <c r="H27">
        <v>3</v>
      </c>
      <c r="I27" s="3">
        <v>59</v>
      </c>
      <c r="J27" s="4">
        <v>0.1</v>
      </c>
      <c r="K27" s="5">
        <v>159.30000000000001</v>
      </c>
      <c r="L27" t="s">
        <v>38</v>
      </c>
      <c r="M27">
        <v>5</v>
      </c>
    </row>
    <row r="28" spans="1:13">
      <c r="A28" t="s">
        <v>74</v>
      </c>
      <c r="B28" s="1">
        <v>45674</v>
      </c>
      <c r="C28" t="s">
        <v>57</v>
      </c>
      <c r="D28" t="s">
        <v>15</v>
      </c>
      <c r="E28" t="s">
        <v>20</v>
      </c>
      <c r="F28" t="s">
        <v>75</v>
      </c>
      <c r="G28" t="s">
        <v>22</v>
      </c>
      <c r="H28">
        <v>1</v>
      </c>
      <c r="I28" s="3">
        <v>45</v>
      </c>
      <c r="J28" s="4">
        <v>0</v>
      </c>
      <c r="K28" s="5">
        <v>45</v>
      </c>
      <c r="L28" t="s">
        <v>23</v>
      </c>
      <c r="M28">
        <v>4</v>
      </c>
    </row>
    <row r="29" spans="1:13">
      <c r="A29" t="s">
        <v>76</v>
      </c>
      <c r="B29" s="1">
        <v>45674</v>
      </c>
      <c r="C29" t="s">
        <v>34</v>
      </c>
      <c r="D29" t="s">
        <v>35</v>
      </c>
      <c r="E29" t="s">
        <v>62</v>
      </c>
      <c r="F29" t="s">
        <v>77</v>
      </c>
      <c r="G29" t="s">
        <v>22</v>
      </c>
      <c r="H29">
        <v>1</v>
      </c>
      <c r="I29" s="3">
        <v>899</v>
      </c>
      <c r="J29" s="4">
        <v>0</v>
      </c>
      <c r="K29" s="5">
        <v>899</v>
      </c>
      <c r="L29" t="s">
        <v>23</v>
      </c>
      <c r="M29">
        <v>4</v>
      </c>
    </row>
    <row r="30" spans="1:13">
      <c r="A30" t="s">
        <v>78</v>
      </c>
      <c r="B30" s="1">
        <v>45676</v>
      </c>
      <c r="C30" t="s">
        <v>34</v>
      </c>
      <c r="D30" t="s">
        <v>35</v>
      </c>
      <c r="E30" t="s">
        <v>48</v>
      </c>
      <c r="F30" t="s">
        <v>79</v>
      </c>
      <c r="G30" t="s">
        <v>37</v>
      </c>
      <c r="H30">
        <v>1</v>
      </c>
      <c r="I30" s="3">
        <v>1790</v>
      </c>
      <c r="J30" s="4">
        <v>0</v>
      </c>
      <c r="K30" s="5">
        <v>1790</v>
      </c>
      <c r="L30" t="s">
        <v>23</v>
      </c>
      <c r="M30">
        <v>4</v>
      </c>
    </row>
    <row r="31" spans="1:13">
      <c r="A31" t="s">
        <v>80</v>
      </c>
      <c r="B31" s="1">
        <v>45677</v>
      </c>
      <c r="C31" t="s">
        <v>14</v>
      </c>
      <c r="D31" t="s">
        <v>15</v>
      </c>
      <c r="E31" t="s">
        <v>62</v>
      </c>
      <c r="F31" t="s">
        <v>63</v>
      </c>
      <c r="G31" t="s">
        <v>22</v>
      </c>
      <c r="H31">
        <v>1</v>
      </c>
      <c r="I31" s="3">
        <v>2490</v>
      </c>
      <c r="J31" s="4">
        <v>0.1</v>
      </c>
      <c r="K31" s="5">
        <v>2241</v>
      </c>
      <c r="L31" t="s">
        <v>23</v>
      </c>
      <c r="M31">
        <v>4</v>
      </c>
    </row>
    <row r="32" spans="1:13">
      <c r="A32" t="s">
        <v>81</v>
      </c>
      <c r="B32" s="1">
        <v>45679</v>
      </c>
      <c r="C32" t="s">
        <v>31</v>
      </c>
      <c r="D32" t="s">
        <v>15</v>
      </c>
      <c r="E32" t="s">
        <v>62</v>
      </c>
      <c r="F32" t="s">
        <v>77</v>
      </c>
      <c r="G32" t="s">
        <v>22</v>
      </c>
      <c r="H32">
        <v>1</v>
      </c>
      <c r="I32" s="3">
        <v>899</v>
      </c>
      <c r="J32" s="4">
        <v>0</v>
      </c>
      <c r="K32" s="5">
        <v>899</v>
      </c>
      <c r="L32" t="s">
        <v>23</v>
      </c>
      <c r="M32">
        <v>5</v>
      </c>
    </row>
    <row r="33" spans="1:13">
      <c r="A33" t="s">
        <v>82</v>
      </c>
      <c r="B33" s="1">
        <v>45680</v>
      </c>
      <c r="C33" t="s">
        <v>31</v>
      </c>
      <c r="D33" t="s">
        <v>15</v>
      </c>
      <c r="E33" t="s">
        <v>20</v>
      </c>
      <c r="F33" t="s">
        <v>55</v>
      </c>
      <c r="G33" t="s">
        <v>22</v>
      </c>
      <c r="H33">
        <v>3</v>
      </c>
      <c r="I33" s="3">
        <v>35</v>
      </c>
      <c r="J33" s="4">
        <v>0.1</v>
      </c>
      <c r="K33" s="5">
        <v>94.5</v>
      </c>
      <c r="L33" t="s">
        <v>23</v>
      </c>
      <c r="M33">
        <v>4</v>
      </c>
    </row>
    <row r="34" spans="1:13">
      <c r="A34" t="s">
        <v>83</v>
      </c>
      <c r="B34" s="1">
        <v>45680</v>
      </c>
      <c r="C34" t="s">
        <v>34</v>
      </c>
      <c r="D34" t="s">
        <v>35</v>
      </c>
      <c r="E34" t="s">
        <v>62</v>
      </c>
      <c r="F34" t="s">
        <v>63</v>
      </c>
      <c r="G34" t="s">
        <v>2</v>
      </c>
      <c r="H34">
        <v>1</v>
      </c>
      <c r="I34" s="3">
        <v>2490</v>
      </c>
      <c r="J34" s="4">
        <v>0</v>
      </c>
      <c r="K34" s="5">
        <v>2490</v>
      </c>
      <c r="L34" t="s">
        <v>23</v>
      </c>
      <c r="M34">
        <v>5</v>
      </c>
    </row>
    <row r="35" spans="1:13">
      <c r="A35" t="s">
        <v>84</v>
      </c>
      <c r="B35" s="1">
        <v>45681</v>
      </c>
      <c r="C35" t="s">
        <v>25</v>
      </c>
      <c r="D35" t="s">
        <v>15</v>
      </c>
      <c r="E35" t="s">
        <v>20</v>
      </c>
      <c r="F35" t="s">
        <v>75</v>
      </c>
      <c r="G35" t="s">
        <v>22</v>
      </c>
      <c r="H35">
        <v>2</v>
      </c>
      <c r="I35" s="3">
        <v>45</v>
      </c>
      <c r="J35" s="4">
        <v>0.1</v>
      </c>
      <c r="K35" s="5">
        <v>81</v>
      </c>
      <c r="L35" t="s">
        <v>23</v>
      </c>
      <c r="M35">
        <v>4</v>
      </c>
    </row>
    <row r="36" spans="1:13">
      <c r="A36" t="s">
        <v>85</v>
      </c>
      <c r="B36" s="1">
        <v>45681</v>
      </c>
      <c r="C36" t="s">
        <v>40</v>
      </c>
      <c r="D36" t="s">
        <v>41</v>
      </c>
      <c r="E36" t="s">
        <v>62</v>
      </c>
      <c r="F36" t="s">
        <v>77</v>
      </c>
      <c r="G36" t="s">
        <v>22</v>
      </c>
      <c r="H36">
        <v>1</v>
      </c>
      <c r="I36" s="3">
        <v>899</v>
      </c>
      <c r="J36" s="4">
        <v>0.05</v>
      </c>
      <c r="K36" s="5">
        <v>854.05</v>
      </c>
      <c r="L36" t="s">
        <v>23</v>
      </c>
      <c r="M36">
        <v>5</v>
      </c>
    </row>
    <row r="37" spans="1:13">
      <c r="A37" t="s">
        <v>86</v>
      </c>
      <c r="B37" s="1">
        <v>45681</v>
      </c>
      <c r="C37" t="s">
        <v>34</v>
      </c>
      <c r="D37" t="s">
        <v>35</v>
      </c>
      <c r="E37" t="s">
        <v>16</v>
      </c>
      <c r="F37" t="s">
        <v>32</v>
      </c>
      <c r="G37" t="s">
        <v>2</v>
      </c>
      <c r="H37">
        <v>2</v>
      </c>
      <c r="I37" s="3">
        <v>89</v>
      </c>
      <c r="J37" s="4">
        <v>0.1</v>
      </c>
      <c r="K37" s="5">
        <v>160.19999999999999</v>
      </c>
      <c r="L37" t="s">
        <v>23</v>
      </c>
      <c r="M37">
        <v>5</v>
      </c>
    </row>
    <row r="38" spans="1:13">
      <c r="A38" t="s">
        <v>87</v>
      </c>
      <c r="B38" s="1">
        <v>45682</v>
      </c>
      <c r="C38" t="s">
        <v>14</v>
      </c>
      <c r="D38" t="s">
        <v>15</v>
      </c>
      <c r="E38" t="s">
        <v>20</v>
      </c>
      <c r="F38" t="s">
        <v>55</v>
      </c>
      <c r="G38" t="s">
        <v>22</v>
      </c>
      <c r="H38">
        <v>1</v>
      </c>
      <c r="I38" s="3">
        <v>35</v>
      </c>
      <c r="J38" s="4">
        <v>0</v>
      </c>
      <c r="K38" s="5">
        <v>35</v>
      </c>
      <c r="L38" t="s">
        <v>51</v>
      </c>
      <c r="M38">
        <v>1</v>
      </c>
    </row>
    <row r="39" spans="1:13">
      <c r="A39" t="s">
        <v>88</v>
      </c>
      <c r="B39" s="1">
        <v>45682</v>
      </c>
      <c r="C39" t="s">
        <v>34</v>
      </c>
      <c r="D39" t="s">
        <v>35</v>
      </c>
      <c r="E39" t="s">
        <v>48</v>
      </c>
      <c r="F39" t="s">
        <v>79</v>
      </c>
      <c r="G39" t="s">
        <v>37</v>
      </c>
      <c r="H39">
        <v>1</v>
      </c>
      <c r="I39" s="3">
        <v>1790</v>
      </c>
      <c r="J39" s="4">
        <v>0.1</v>
      </c>
      <c r="K39" s="5">
        <v>1611</v>
      </c>
      <c r="L39" t="s">
        <v>51</v>
      </c>
      <c r="M39">
        <v>3</v>
      </c>
    </row>
    <row r="40" spans="1:13">
      <c r="A40" t="s">
        <v>89</v>
      </c>
      <c r="B40" s="1">
        <v>45683</v>
      </c>
      <c r="C40" t="s">
        <v>57</v>
      </c>
      <c r="D40" t="s">
        <v>15</v>
      </c>
      <c r="E40" t="s">
        <v>26</v>
      </c>
      <c r="F40" t="s">
        <v>27</v>
      </c>
      <c r="G40" t="s">
        <v>22</v>
      </c>
      <c r="H40">
        <v>1</v>
      </c>
      <c r="I40" s="3">
        <v>699</v>
      </c>
      <c r="J40" s="4">
        <v>0.1</v>
      </c>
      <c r="K40" s="5">
        <v>629.1</v>
      </c>
      <c r="L40" t="s">
        <v>18</v>
      </c>
      <c r="M40">
        <v>5</v>
      </c>
    </row>
    <row r="41" spans="1:13">
      <c r="A41" t="s">
        <v>90</v>
      </c>
      <c r="B41" s="1">
        <v>45683</v>
      </c>
      <c r="C41" t="s">
        <v>57</v>
      </c>
      <c r="D41" t="s">
        <v>15</v>
      </c>
      <c r="E41" t="s">
        <v>16</v>
      </c>
      <c r="F41" t="s">
        <v>32</v>
      </c>
      <c r="G41" t="s">
        <v>2</v>
      </c>
      <c r="H41">
        <v>1</v>
      </c>
      <c r="I41" s="3">
        <v>89</v>
      </c>
      <c r="J41" s="4">
        <v>0.05</v>
      </c>
      <c r="K41" s="5">
        <v>84.55</v>
      </c>
      <c r="L41" t="s">
        <v>23</v>
      </c>
      <c r="M41">
        <v>5</v>
      </c>
    </row>
    <row r="42" spans="1:13">
      <c r="A42" t="s">
        <v>91</v>
      </c>
      <c r="B42" s="1">
        <v>45683</v>
      </c>
      <c r="C42" t="s">
        <v>34</v>
      </c>
      <c r="D42" t="s">
        <v>35</v>
      </c>
      <c r="E42" t="s">
        <v>62</v>
      </c>
      <c r="F42" t="s">
        <v>77</v>
      </c>
      <c r="G42" t="s">
        <v>2</v>
      </c>
      <c r="H42">
        <v>1</v>
      </c>
      <c r="I42" s="3">
        <v>899</v>
      </c>
      <c r="J42" s="4">
        <v>0</v>
      </c>
      <c r="K42" s="5">
        <v>899</v>
      </c>
      <c r="L42" t="s">
        <v>23</v>
      </c>
    </row>
    <row r="43" spans="1:13">
      <c r="A43" t="s">
        <v>92</v>
      </c>
      <c r="B43" s="1">
        <v>45684</v>
      </c>
      <c r="C43" t="s">
        <v>44</v>
      </c>
      <c r="D43" t="s">
        <v>45</v>
      </c>
      <c r="E43" t="s">
        <v>20</v>
      </c>
      <c r="F43" t="s">
        <v>55</v>
      </c>
      <c r="G43" t="s">
        <v>22</v>
      </c>
      <c r="H43">
        <v>2</v>
      </c>
      <c r="I43" s="3">
        <v>35</v>
      </c>
      <c r="J43" s="4">
        <v>0.15</v>
      </c>
      <c r="K43" s="5">
        <v>59.5</v>
      </c>
      <c r="L43" t="s">
        <v>51</v>
      </c>
      <c r="M43">
        <v>2</v>
      </c>
    </row>
    <row r="44" spans="1:13">
      <c r="A44" t="s">
        <v>93</v>
      </c>
      <c r="B44" s="1">
        <v>45684</v>
      </c>
      <c r="C44" t="s">
        <v>34</v>
      </c>
      <c r="D44" t="s">
        <v>35</v>
      </c>
      <c r="E44" t="s">
        <v>20</v>
      </c>
      <c r="F44" t="s">
        <v>55</v>
      </c>
      <c r="G44" t="s">
        <v>22</v>
      </c>
      <c r="H44">
        <v>1</v>
      </c>
      <c r="I44" s="3">
        <v>35</v>
      </c>
      <c r="J44" s="4">
        <v>0.05</v>
      </c>
      <c r="K44" s="5">
        <v>33.25</v>
      </c>
      <c r="L44" t="s">
        <v>18</v>
      </c>
      <c r="M44">
        <v>4</v>
      </c>
    </row>
    <row r="45" spans="1:13">
      <c r="A45" t="s">
        <v>94</v>
      </c>
      <c r="B45" s="1">
        <v>45684</v>
      </c>
      <c r="C45" t="s">
        <v>54</v>
      </c>
      <c r="D45" t="s">
        <v>35</v>
      </c>
      <c r="E45" t="s">
        <v>48</v>
      </c>
      <c r="F45" t="s">
        <v>65</v>
      </c>
      <c r="G45" t="s">
        <v>2</v>
      </c>
      <c r="H45">
        <v>2</v>
      </c>
      <c r="I45" s="3">
        <v>2590</v>
      </c>
      <c r="J45" s="4">
        <v>0.05</v>
      </c>
      <c r="K45" s="5">
        <v>4921</v>
      </c>
      <c r="L45" t="s">
        <v>23</v>
      </c>
      <c r="M45">
        <v>5</v>
      </c>
    </row>
    <row r="46" spans="1:13">
      <c r="A46" t="s">
        <v>95</v>
      </c>
      <c r="B46" s="1">
        <v>45685</v>
      </c>
      <c r="C46" t="s">
        <v>14</v>
      </c>
      <c r="D46" t="s">
        <v>15</v>
      </c>
      <c r="E46" t="s">
        <v>26</v>
      </c>
      <c r="F46" t="s">
        <v>29</v>
      </c>
      <c r="G46" t="s">
        <v>22</v>
      </c>
      <c r="H46">
        <v>1</v>
      </c>
      <c r="I46" s="3">
        <v>549</v>
      </c>
      <c r="J46" s="4">
        <v>0</v>
      </c>
      <c r="K46" s="5">
        <v>549</v>
      </c>
      <c r="L46" t="s">
        <v>38</v>
      </c>
      <c r="M46">
        <v>4</v>
      </c>
    </row>
    <row r="47" spans="1:13">
      <c r="A47" t="s">
        <v>96</v>
      </c>
      <c r="B47" s="1">
        <v>45686</v>
      </c>
      <c r="C47" t="s">
        <v>57</v>
      </c>
      <c r="D47" t="s">
        <v>15</v>
      </c>
      <c r="E47" t="s">
        <v>48</v>
      </c>
      <c r="F47" t="s">
        <v>65</v>
      </c>
      <c r="G47" t="s">
        <v>37</v>
      </c>
      <c r="H47">
        <v>1</v>
      </c>
      <c r="I47" s="3">
        <v>2590</v>
      </c>
      <c r="J47" s="4">
        <v>0.05</v>
      </c>
      <c r="K47" s="5">
        <v>2460.5</v>
      </c>
      <c r="L47" t="s">
        <v>51</v>
      </c>
      <c r="M47">
        <v>4</v>
      </c>
    </row>
    <row r="48" spans="1:13">
      <c r="A48" t="s">
        <v>97</v>
      </c>
      <c r="B48" s="1">
        <v>45686</v>
      </c>
      <c r="C48" t="s">
        <v>57</v>
      </c>
      <c r="D48" t="s">
        <v>15</v>
      </c>
      <c r="E48" t="s">
        <v>62</v>
      </c>
      <c r="F48" t="s">
        <v>63</v>
      </c>
      <c r="G48" t="s">
        <v>22</v>
      </c>
      <c r="H48">
        <v>2</v>
      </c>
      <c r="I48" s="3">
        <v>2490</v>
      </c>
      <c r="J48" s="4">
        <v>0</v>
      </c>
      <c r="K48" s="5">
        <v>4980</v>
      </c>
      <c r="L48" t="s">
        <v>51</v>
      </c>
      <c r="M48">
        <v>3</v>
      </c>
    </row>
    <row r="49" spans="1:13">
      <c r="A49" t="s">
        <v>98</v>
      </c>
      <c r="B49" s="1">
        <v>45687</v>
      </c>
      <c r="C49" t="s">
        <v>57</v>
      </c>
      <c r="D49" t="s">
        <v>15</v>
      </c>
      <c r="E49" t="s">
        <v>26</v>
      </c>
      <c r="F49" t="s">
        <v>29</v>
      </c>
      <c r="G49" t="s">
        <v>22</v>
      </c>
      <c r="H49">
        <v>1</v>
      </c>
      <c r="I49" s="3">
        <v>549</v>
      </c>
      <c r="J49" s="4">
        <v>0</v>
      </c>
      <c r="K49" s="5">
        <v>549</v>
      </c>
      <c r="L49" t="s">
        <v>23</v>
      </c>
      <c r="M49">
        <v>4</v>
      </c>
    </row>
    <row r="50" spans="1:13">
      <c r="A50" t="s">
        <v>99</v>
      </c>
      <c r="B50" s="1">
        <v>45687</v>
      </c>
      <c r="C50" t="s">
        <v>44</v>
      </c>
      <c r="D50" t="s">
        <v>45</v>
      </c>
      <c r="E50" t="s">
        <v>62</v>
      </c>
      <c r="F50" t="s">
        <v>100</v>
      </c>
      <c r="G50" t="s">
        <v>2</v>
      </c>
      <c r="H50">
        <v>1</v>
      </c>
      <c r="I50" s="3">
        <v>1190</v>
      </c>
      <c r="J50" s="4">
        <v>0</v>
      </c>
      <c r="K50" s="5">
        <v>1190</v>
      </c>
      <c r="L50" t="s">
        <v>51</v>
      </c>
      <c r="M50">
        <v>4</v>
      </c>
    </row>
    <row r="51" spans="1:13">
      <c r="A51" t="s">
        <v>101</v>
      </c>
      <c r="B51" s="1">
        <v>45688</v>
      </c>
      <c r="C51" t="s">
        <v>40</v>
      </c>
      <c r="D51" t="s">
        <v>41</v>
      </c>
      <c r="E51" t="s">
        <v>16</v>
      </c>
      <c r="F51" t="s">
        <v>32</v>
      </c>
      <c r="G51" t="s">
        <v>2</v>
      </c>
      <c r="H51">
        <v>1</v>
      </c>
      <c r="I51" s="3">
        <v>89</v>
      </c>
      <c r="J51" s="4">
        <v>0.15</v>
      </c>
      <c r="K51" s="5">
        <v>75.650000000000006</v>
      </c>
      <c r="L51" t="s">
        <v>23</v>
      </c>
      <c r="M51">
        <v>5</v>
      </c>
    </row>
    <row r="52" spans="1:13">
      <c r="A52" t="s">
        <v>102</v>
      </c>
      <c r="B52" s="1">
        <v>45690</v>
      </c>
      <c r="C52" t="s">
        <v>40</v>
      </c>
      <c r="D52" t="s">
        <v>41</v>
      </c>
      <c r="E52" t="s">
        <v>48</v>
      </c>
      <c r="F52" t="s">
        <v>79</v>
      </c>
      <c r="G52" t="s">
        <v>2</v>
      </c>
      <c r="H52">
        <v>1</v>
      </c>
      <c r="I52" s="3">
        <v>1790</v>
      </c>
      <c r="J52" s="4">
        <v>0.05</v>
      </c>
      <c r="K52" s="5">
        <v>1700.5</v>
      </c>
      <c r="L52" t="s">
        <v>18</v>
      </c>
      <c r="M52">
        <v>4</v>
      </c>
    </row>
    <row r="53" spans="1:13">
      <c r="A53" t="s">
        <v>103</v>
      </c>
      <c r="B53" s="1">
        <v>45690</v>
      </c>
      <c r="C53" t="s">
        <v>57</v>
      </c>
      <c r="D53" t="s">
        <v>15</v>
      </c>
      <c r="E53" t="s">
        <v>16</v>
      </c>
      <c r="F53" t="s">
        <v>46</v>
      </c>
      <c r="G53" t="s">
        <v>2</v>
      </c>
      <c r="H53">
        <v>1</v>
      </c>
      <c r="I53" s="3">
        <v>29</v>
      </c>
      <c r="J53" s="4">
        <v>0.05</v>
      </c>
      <c r="K53" s="5">
        <v>27.55</v>
      </c>
      <c r="L53" t="s">
        <v>38</v>
      </c>
      <c r="M53">
        <v>4</v>
      </c>
    </row>
    <row r="54" spans="1:13">
      <c r="A54" t="s">
        <v>104</v>
      </c>
      <c r="B54" s="1">
        <v>45690</v>
      </c>
      <c r="C54" t="s">
        <v>14</v>
      </c>
      <c r="D54" t="s">
        <v>15</v>
      </c>
      <c r="E54" t="s">
        <v>62</v>
      </c>
      <c r="F54" t="s">
        <v>100</v>
      </c>
      <c r="G54" t="s">
        <v>22</v>
      </c>
      <c r="H54">
        <v>1</v>
      </c>
      <c r="I54" s="3">
        <v>1190</v>
      </c>
      <c r="J54" s="4">
        <v>0</v>
      </c>
      <c r="K54" s="5">
        <v>1190</v>
      </c>
      <c r="L54" t="s">
        <v>23</v>
      </c>
      <c r="M54">
        <v>5</v>
      </c>
    </row>
    <row r="55" spans="1:13">
      <c r="A55" t="s">
        <v>105</v>
      </c>
      <c r="B55" s="1">
        <v>45691</v>
      </c>
      <c r="C55" t="s">
        <v>34</v>
      </c>
      <c r="D55" t="s">
        <v>35</v>
      </c>
      <c r="E55" t="s">
        <v>20</v>
      </c>
      <c r="F55" t="s">
        <v>55</v>
      </c>
      <c r="G55" t="s">
        <v>22</v>
      </c>
      <c r="H55">
        <v>1</v>
      </c>
      <c r="I55" s="3">
        <v>35</v>
      </c>
      <c r="J55" s="4">
        <v>0.15</v>
      </c>
      <c r="K55" s="5">
        <v>29.75</v>
      </c>
      <c r="L55" t="s">
        <v>23</v>
      </c>
      <c r="M55">
        <v>4</v>
      </c>
    </row>
    <row r="56" spans="1:13">
      <c r="A56" t="s">
        <v>106</v>
      </c>
      <c r="B56" s="1">
        <v>45691</v>
      </c>
      <c r="C56" t="s">
        <v>57</v>
      </c>
      <c r="D56" t="s">
        <v>15</v>
      </c>
      <c r="E56" t="s">
        <v>48</v>
      </c>
      <c r="F56" t="s">
        <v>65</v>
      </c>
      <c r="G56" t="s">
        <v>2</v>
      </c>
      <c r="H56">
        <v>1</v>
      </c>
      <c r="I56" s="3">
        <v>2590</v>
      </c>
      <c r="J56" s="4">
        <v>0.05</v>
      </c>
      <c r="K56" s="5">
        <v>2460.5</v>
      </c>
      <c r="L56" t="s">
        <v>38</v>
      </c>
      <c r="M56">
        <v>5</v>
      </c>
    </row>
    <row r="57" spans="1:13">
      <c r="A57" t="s">
        <v>107</v>
      </c>
      <c r="B57" s="1">
        <v>45691</v>
      </c>
      <c r="C57" t="s">
        <v>40</v>
      </c>
      <c r="D57" t="s">
        <v>41</v>
      </c>
      <c r="E57" t="s">
        <v>20</v>
      </c>
      <c r="F57" t="s">
        <v>21</v>
      </c>
      <c r="G57" t="s">
        <v>37</v>
      </c>
      <c r="H57">
        <v>1</v>
      </c>
      <c r="I57" s="3">
        <v>69</v>
      </c>
      <c r="J57" s="4">
        <v>0.1</v>
      </c>
      <c r="K57" s="5">
        <v>62.1</v>
      </c>
      <c r="L57" t="s">
        <v>38</v>
      </c>
      <c r="M57">
        <v>3</v>
      </c>
    </row>
    <row r="58" spans="1:13">
      <c r="A58" t="s">
        <v>108</v>
      </c>
      <c r="B58" s="1">
        <v>45692</v>
      </c>
      <c r="C58" t="s">
        <v>40</v>
      </c>
      <c r="D58" t="s">
        <v>41</v>
      </c>
      <c r="E58" t="s">
        <v>20</v>
      </c>
      <c r="F58" t="s">
        <v>42</v>
      </c>
      <c r="G58" t="s">
        <v>22</v>
      </c>
      <c r="H58">
        <v>1</v>
      </c>
      <c r="I58" s="3">
        <v>59</v>
      </c>
      <c r="J58" s="4">
        <v>0.15</v>
      </c>
      <c r="K58" s="5">
        <v>50.15</v>
      </c>
      <c r="L58" t="s">
        <v>23</v>
      </c>
      <c r="M58">
        <v>4</v>
      </c>
    </row>
    <row r="59" spans="1:13">
      <c r="A59" t="s">
        <v>109</v>
      </c>
      <c r="B59" s="1">
        <v>45692</v>
      </c>
      <c r="C59" t="s">
        <v>40</v>
      </c>
      <c r="D59" t="s">
        <v>41</v>
      </c>
      <c r="E59" t="s">
        <v>16</v>
      </c>
      <c r="F59" t="s">
        <v>32</v>
      </c>
      <c r="G59" t="s">
        <v>2</v>
      </c>
      <c r="H59">
        <v>2</v>
      </c>
      <c r="I59" s="3">
        <v>89</v>
      </c>
      <c r="J59" s="4">
        <v>0</v>
      </c>
      <c r="K59" s="5">
        <v>178</v>
      </c>
      <c r="L59" t="s">
        <v>38</v>
      </c>
      <c r="M59">
        <v>2</v>
      </c>
    </row>
    <row r="60" spans="1:13">
      <c r="A60" t="s">
        <v>110</v>
      </c>
      <c r="B60" s="1">
        <v>45692</v>
      </c>
      <c r="C60" t="s">
        <v>54</v>
      </c>
      <c r="D60" t="s">
        <v>35</v>
      </c>
      <c r="E60" t="s">
        <v>20</v>
      </c>
      <c r="F60" t="s">
        <v>21</v>
      </c>
      <c r="G60" t="s">
        <v>37</v>
      </c>
      <c r="H60">
        <v>1</v>
      </c>
      <c r="I60" s="3">
        <v>69</v>
      </c>
      <c r="J60" s="4">
        <v>0</v>
      </c>
      <c r="K60" s="5">
        <v>69</v>
      </c>
      <c r="L60" t="s">
        <v>38</v>
      </c>
      <c r="M60">
        <v>5</v>
      </c>
    </row>
    <row r="61" spans="1:13">
      <c r="A61" t="s">
        <v>111</v>
      </c>
      <c r="B61" s="1">
        <v>45693</v>
      </c>
      <c r="C61" t="s">
        <v>31</v>
      </c>
      <c r="D61" t="s">
        <v>15</v>
      </c>
      <c r="E61" t="s">
        <v>26</v>
      </c>
      <c r="F61" t="s">
        <v>27</v>
      </c>
      <c r="G61" t="s">
        <v>22</v>
      </c>
      <c r="H61">
        <v>1</v>
      </c>
      <c r="I61" s="3">
        <v>699</v>
      </c>
      <c r="J61" s="4">
        <v>0</v>
      </c>
      <c r="K61" s="5">
        <v>699</v>
      </c>
      <c r="L61" t="s">
        <v>23</v>
      </c>
      <c r="M61">
        <v>5</v>
      </c>
    </row>
    <row r="62" spans="1:13">
      <c r="A62" t="s">
        <v>112</v>
      </c>
      <c r="B62" s="1">
        <v>45693</v>
      </c>
      <c r="C62" t="s">
        <v>31</v>
      </c>
      <c r="D62" t="s">
        <v>15</v>
      </c>
      <c r="E62" t="s">
        <v>16</v>
      </c>
      <c r="F62" t="s">
        <v>17</v>
      </c>
      <c r="G62" t="s">
        <v>2</v>
      </c>
      <c r="H62">
        <v>1</v>
      </c>
      <c r="I62" s="3">
        <v>19</v>
      </c>
      <c r="J62" s="4">
        <v>0.05</v>
      </c>
      <c r="K62" s="5">
        <v>18.05</v>
      </c>
      <c r="L62" t="s">
        <v>51</v>
      </c>
      <c r="M62">
        <v>5</v>
      </c>
    </row>
    <row r="63" spans="1:13">
      <c r="A63" t="s">
        <v>113</v>
      </c>
      <c r="B63" s="1">
        <v>45693</v>
      </c>
      <c r="C63" t="s">
        <v>14</v>
      </c>
      <c r="D63" t="s">
        <v>15</v>
      </c>
      <c r="E63" t="s">
        <v>62</v>
      </c>
      <c r="F63" t="s">
        <v>100</v>
      </c>
      <c r="G63" t="s">
        <v>2</v>
      </c>
      <c r="H63">
        <v>1</v>
      </c>
      <c r="I63" s="3">
        <v>1190</v>
      </c>
      <c r="J63" s="4">
        <v>0</v>
      </c>
      <c r="K63" s="5">
        <v>1190</v>
      </c>
      <c r="L63" t="s">
        <v>23</v>
      </c>
      <c r="M63">
        <v>5</v>
      </c>
    </row>
    <row r="64" spans="1:13">
      <c r="A64" t="s">
        <v>114</v>
      </c>
      <c r="B64" s="1">
        <v>45693</v>
      </c>
      <c r="C64" t="s">
        <v>34</v>
      </c>
      <c r="D64" t="s">
        <v>35</v>
      </c>
      <c r="E64" t="s">
        <v>16</v>
      </c>
      <c r="F64" t="s">
        <v>46</v>
      </c>
      <c r="G64" t="s">
        <v>2</v>
      </c>
      <c r="H64">
        <v>1</v>
      </c>
      <c r="I64" s="3">
        <v>29</v>
      </c>
      <c r="J64" s="4">
        <v>0.2</v>
      </c>
      <c r="K64" s="5">
        <v>23.2</v>
      </c>
      <c r="L64" t="s">
        <v>23</v>
      </c>
      <c r="M64">
        <v>5</v>
      </c>
    </row>
    <row r="65" spans="1:13">
      <c r="A65" t="s">
        <v>115</v>
      </c>
      <c r="B65" s="1">
        <v>45693</v>
      </c>
      <c r="C65" t="s">
        <v>40</v>
      </c>
      <c r="D65" t="s">
        <v>41</v>
      </c>
      <c r="E65" t="s">
        <v>16</v>
      </c>
      <c r="F65" t="s">
        <v>17</v>
      </c>
      <c r="G65" t="s">
        <v>2</v>
      </c>
      <c r="H65">
        <v>1</v>
      </c>
      <c r="I65" s="3">
        <v>19</v>
      </c>
      <c r="J65" s="4">
        <v>0</v>
      </c>
      <c r="K65" s="5">
        <v>19</v>
      </c>
      <c r="L65" t="s">
        <v>23</v>
      </c>
      <c r="M65">
        <v>4</v>
      </c>
    </row>
    <row r="66" spans="1:13">
      <c r="A66" t="s">
        <v>116</v>
      </c>
      <c r="B66" s="1">
        <v>45695</v>
      </c>
      <c r="C66" t="s">
        <v>14</v>
      </c>
      <c r="D66" t="s">
        <v>15</v>
      </c>
      <c r="E66" t="s">
        <v>48</v>
      </c>
      <c r="F66" t="s">
        <v>49</v>
      </c>
      <c r="G66" t="s">
        <v>22</v>
      </c>
      <c r="H66">
        <v>1</v>
      </c>
      <c r="I66" s="3">
        <v>3990</v>
      </c>
      <c r="J66" s="4">
        <v>0</v>
      </c>
      <c r="K66" s="5">
        <v>3990</v>
      </c>
      <c r="L66" t="s">
        <v>38</v>
      </c>
      <c r="M66">
        <v>1</v>
      </c>
    </row>
    <row r="67" spans="1:13">
      <c r="A67" t="s">
        <v>117</v>
      </c>
      <c r="B67" s="1">
        <v>45695</v>
      </c>
      <c r="C67" t="s">
        <v>40</v>
      </c>
      <c r="D67" t="s">
        <v>41</v>
      </c>
      <c r="E67" t="s">
        <v>20</v>
      </c>
      <c r="F67" t="s">
        <v>55</v>
      </c>
      <c r="G67" t="s">
        <v>22</v>
      </c>
      <c r="H67">
        <v>1</v>
      </c>
      <c r="I67" s="3">
        <v>35</v>
      </c>
      <c r="J67" s="4">
        <v>0</v>
      </c>
      <c r="K67" s="5">
        <v>35</v>
      </c>
      <c r="L67" t="s">
        <v>23</v>
      </c>
      <c r="M67">
        <v>5</v>
      </c>
    </row>
    <row r="68" spans="1:13">
      <c r="A68" t="s">
        <v>118</v>
      </c>
      <c r="B68" s="1">
        <v>45696</v>
      </c>
      <c r="C68" t="s">
        <v>31</v>
      </c>
      <c r="D68" t="s">
        <v>15</v>
      </c>
      <c r="E68" t="s">
        <v>20</v>
      </c>
      <c r="F68" t="s">
        <v>21</v>
      </c>
      <c r="G68" t="s">
        <v>2</v>
      </c>
      <c r="H68">
        <v>2</v>
      </c>
      <c r="I68" s="3">
        <v>69</v>
      </c>
      <c r="J68" s="4">
        <v>0</v>
      </c>
      <c r="K68" s="5">
        <v>138</v>
      </c>
      <c r="L68" t="s">
        <v>51</v>
      </c>
      <c r="M68">
        <v>5</v>
      </c>
    </row>
    <row r="69" spans="1:13">
      <c r="A69" t="s">
        <v>119</v>
      </c>
      <c r="B69" s="1">
        <v>45696</v>
      </c>
      <c r="C69" t="s">
        <v>25</v>
      </c>
      <c r="D69" t="s">
        <v>15</v>
      </c>
      <c r="E69" t="s">
        <v>20</v>
      </c>
      <c r="F69" t="s">
        <v>55</v>
      </c>
      <c r="G69" t="s">
        <v>2</v>
      </c>
      <c r="H69">
        <v>4</v>
      </c>
      <c r="I69" s="3">
        <v>35</v>
      </c>
      <c r="J69" s="4">
        <v>0.05</v>
      </c>
      <c r="K69" s="5">
        <v>133</v>
      </c>
      <c r="L69" t="s">
        <v>38</v>
      </c>
      <c r="M69">
        <v>4</v>
      </c>
    </row>
    <row r="70" spans="1:13">
      <c r="A70" t="s">
        <v>120</v>
      </c>
      <c r="B70" s="1">
        <v>45697</v>
      </c>
      <c r="C70" t="s">
        <v>54</v>
      </c>
      <c r="D70" t="s">
        <v>35</v>
      </c>
      <c r="E70" t="s">
        <v>16</v>
      </c>
      <c r="F70" t="s">
        <v>46</v>
      </c>
      <c r="G70" t="s">
        <v>2</v>
      </c>
      <c r="H70">
        <v>1</v>
      </c>
      <c r="I70" s="3">
        <v>29</v>
      </c>
      <c r="J70" s="4">
        <v>0</v>
      </c>
      <c r="K70" s="5">
        <v>29</v>
      </c>
      <c r="L70" t="s">
        <v>23</v>
      </c>
      <c r="M70">
        <v>5</v>
      </c>
    </row>
    <row r="71" spans="1:13">
      <c r="A71" t="s">
        <v>121</v>
      </c>
      <c r="B71" s="1">
        <v>45697</v>
      </c>
      <c r="C71" t="s">
        <v>14</v>
      </c>
      <c r="D71" t="s">
        <v>15</v>
      </c>
      <c r="E71" t="s">
        <v>26</v>
      </c>
      <c r="F71" t="s">
        <v>27</v>
      </c>
      <c r="G71" t="s">
        <v>2</v>
      </c>
      <c r="H71">
        <v>1</v>
      </c>
      <c r="I71" s="3">
        <v>699</v>
      </c>
      <c r="J71" s="4">
        <v>0.15</v>
      </c>
      <c r="K71" s="5">
        <v>594.15</v>
      </c>
      <c r="L71" t="s">
        <v>51</v>
      </c>
      <c r="M71">
        <v>5</v>
      </c>
    </row>
    <row r="72" spans="1:13">
      <c r="A72" t="s">
        <v>122</v>
      </c>
      <c r="B72" s="1">
        <v>45698</v>
      </c>
      <c r="C72" t="s">
        <v>40</v>
      </c>
      <c r="D72" t="s">
        <v>41</v>
      </c>
      <c r="E72" t="s">
        <v>62</v>
      </c>
      <c r="F72" t="s">
        <v>63</v>
      </c>
      <c r="G72" t="s">
        <v>22</v>
      </c>
      <c r="H72">
        <v>1</v>
      </c>
      <c r="I72" s="3">
        <v>2490</v>
      </c>
      <c r="J72" s="4">
        <v>0.05</v>
      </c>
      <c r="K72" s="5">
        <v>2365.5</v>
      </c>
      <c r="L72" t="s">
        <v>23</v>
      </c>
      <c r="M72">
        <v>4</v>
      </c>
    </row>
    <row r="73" spans="1:13">
      <c r="A73" t="s">
        <v>123</v>
      </c>
      <c r="B73" s="1">
        <v>45699</v>
      </c>
      <c r="C73" t="s">
        <v>57</v>
      </c>
      <c r="D73" t="s">
        <v>15</v>
      </c>
      <c r="E73" t="s">
        <v>20</v>
      </c>
      <c r="F73" t="s">
        <v>75</v>
      </c>
      <c r="G73" t="s">
        <v>2</v>
      </c>
      <c r="H73">
        <v>1</v>
      </c>
      <c r="I73" s="3">
        <v>45</v>
      </c>
      <c r="J73" s="4">
        <v>0</v>
      </c>
      <c r="K73" s="5">
        <v>45</v>
      </c>
      <c r="L73" t="s">
        <v>38</v>
      </c>
      <c r="M73">
        <v>2</v>
      </c>
    </row>
    <row r="74" spans="1:13">
      <c r="A74" t="s">
        <v>124</v>
      </c>
      <c r="B74" s="1">
        <v>45699</v>
      </c>
      <c r="C74" t="s">
        <v>25</v>
      </c>
      <c r="D74" t="s">
        <v>15</v>
      </c>
      <c r="E74" t="s">
        <v>48</v>
      </c>
      <c r="F74" t="s">
        <v>79</v>
      </c>
      <c r="G74" t="s">
        <v>22</v>
      </c>
      <c r="H74">
        <v>1</v>
      </c>
      <c r="I74" s="3">
        <v>1790</v>
      </c>
      <c r="J74" s="4">
        <v>0</v>
      </c>
      <c r="K74" s="5">
        <v>1790</v>
      </c>
      <c r="L74" t="s">
        <v>23</v>
      </c>
      <c r="M74">
        <v>4</v>
      </c>
    </row>
    <row r="75" spans="1:13">
      <c r="A75" t="s">
        <v>125</v>
      </c>
      <c r="B75" s="1">
        <v>45699</v>
      </c>
      <c r="C75" t="s">
        <v>31</v>
      </c>
      <c r="D75" t="s">
        <v>15</v>
      </c>
      <c r="E75" t="s">
        <v>20</v>
      </c>
      <c r="F75" t="s">
        <v>55</v>
      </c>
      <c r="G75" t="s">
        <v>22</v>
      </c>
      <c r="H75">
        <v>1</v>
      </c>
      <c r="I75" s="3">
        <v>35</v>
      </c>
      <c r="J75" s="4">
        <v>0.05</v>
      </c>
      <c r="K75" s="5">
        <v>33.25</v>
      </c>
      <c r="L75" t="s">
        <v>23</v>
      </c>
    </row>
    <row r="76" spans="1:13">
      <c r="A76" t="s">
        <v>126</v>
      </c>
      <c r="B76" s="1">
        <v>45700</v>
      </c>
      <c r="C76" t="s">
        <v>31</v>
      </c>
      <c r="D76" t="s">
        <v>15</v>
      </c>
      <c r="E76" t="s">
        <v>20</v>
      </c>
      <c r="F76" t="s">
        <v>75</v>
      </c>
      <c r="G76" t="s">
        <v>2</v>
      </c>
      <c r="H76">
        <v>2</v>
      </c>
      <c r="I76" s="3">
        <v>45</v>
      </c>
      <c r="J76" s="4">
        <v>0</v>
      </c>
      <c r="K76" s="5">
        <v>90</v>
      </c>
      <c r="L76" t="s">
        <v>18</v>
      </c>
      <c r="M76">
        <v>4</v>
      </c>
    </row>
    <row r="77" spans="1:13">
      <c r="A77" t="s">
        <v>127</v>
      </c>
      <c r="B77" s="1">
        <v>45700</v>
      </c>
      <c r="C77" t="s">
        <v>54</v>
      </c>
      <c r="D77" t="s">
        <v>35</v>
      </c>
      <c r="E77" t="s">
        <v>62</v>
      </c>
      <c r="F77" t="s">
        <v>100</v>
      </c>
      <c r="G77" t="s">
        <v>2</v>
      </c>
      <c r="H77">
        <v>1</v>
      </c>
      <c r="I77" s="3">
        <v>1190</v>
      </c>
      <c r="J77" s="4">
        <v>0</v>
      </c>
      <c r="K77" s="5">
        <v>1190</v>
      </c>
      <c r="L77" t="s">
        <v>38</v>
      </c>
      <c r="M77">
        <v>5</v>
      </c>
    </row>
    <row r="78" spans="1:13">
      <c r="A78" t="s">
        <v>128</v>
      </c>
      <c r="B78" s="1">
        <v>45700</v>
      </c>
      <c r="C78" t="s">
        <v>57</v>
      </c>
      <c r="D78" t="s">
        <v>15</v>
      </c>
      <c r="E78" t="s">
        <v>16</v>
      </c>
      <c r="F78" t="s">
        <v>17</v>
      </c>
      <c r="G78" t="s">
        <v>2</v>
      </c>
      <c r="H78">
        <v>2</v>
      </c>
      <c r="I78" s="3">
        <v>19</v>
      </c>
      <c r="J78" s="4">
        <v>0</v>
      </c>
      <c r="K78" s="5">
        <v>38</v>
      </c>
      <c r="L78" t="s">
        <v>23</v>
      </c>
      <c r="M78">
        <v>3</v>
      </c>
    </row>
    <row r="79" spans="1:13">
      <c r="A79" t="s">
        <v>129</v>
      </c>
      <c r="B79" s="1">
        <v>45700</v>
      </c>
      <c r="C79" t="s">
        <v>44</v>
      </c>
      <c r="D79" t="s">
        <v>45</v>
      </c>
      <c r="E79" t="s">
        <v>26</v>
      </c>
      <c r="F79" t="s">
        <v>29</v>
      </c>
      <c r="G79" t="s">
        <v>22</v>
      </c>
      <c r="H79">
        <v>1</v>
      </c>
      <c r="I79" s="3">
        <v>549</v>
      </c>
      <c r="J79" s="4">
        <v>0.05</v>
      </c>
      <c r="K79" s="5">
        <v>521.54999999999995</v>
      </c>
      <c r="L79" t="s">
        <v>23</v>
      </c>
      <c r="M79">
        <v>5</v>
      </c>
    </row>
    <row r="80" spans="1:13">
      <c r="A80" t="s">
        <v>130</v>
      </c>
      <c r="B80" s="1">
        <v>45700</v>
      </c>
      <c r="C80" t="s">
        <v>31</v>
      </c>
      <c r="D80" t="s">
        <v>15</v>
      </c>
      <c r="E80" t="s">
        <v>16</v>
      </c>
      <c r="F80" t="s">
        <v>32</v>
      </c>
      <c r="G80" t="s">
        <v>2</v>
      </c>
      <c r="H80">
        <v>1</v>
      </c>
      <c r="I80" s="3">
        <v>89</v>
      </c>
      <c r="J80" s="4">
        <v>0.15</v>
      </c>
      <c r="K80" s="5">
        <v>75.650000000000006</v>
      </c>
      <c r="L80" t="s">
        <v>23</v>
      </c>
      <c r="M80">
        <v>3</v>
      </c>
    </row>
    <row r="81" spans="1:13">
      <c r="A81" t="s">
        <v>131</v>
      </c>
      <c r="B81" s="1">
        <v>45701</v>
      </c>
      <c r="C81" t="s">
        <v>57</v>
      </c>
      <c r="D81" t="s">
        <v>15</v>
      </c>
      <c r="E81" t="s">
        <v>20</v>
      </c>
      <c r="F81" t="s">
        <v>55</v>
      </c>
      <c r="G81" t="s">
        <v>22</v>
      </c>
      <c r="H81">
        <v>1</v>
      </c>
      <c r="I81" s="3">
        <v>35</v>
      </c>
      <c r="J81" s="4">
        <v>0</v>
      </c>
      <c r="K81" s="5">
        <v>35</v>
      </c>
      <c r="L81" t="s">
        <v>23</v>
      </c>
    </row>
    <row r="82" spans="1:13">
      <c r="A82" t="s">
        <v>132</v>
      </c>
      <c r="B82" s="1">
        <v>45701</v>
      </c>
      <c r="C82" t="s">
        <v>40</v>
      </c>
      <c r="D82" t="s">
        <v>41</v>
      </c>
      <c r="E82" t="s">
        <v>16</v>
      </c>
      <c r="F82" t="s">
        <v>32</v>
      </c>
      <c r="G82" t="s">
        <v>2</v>
      </c>
      <c r="H82">
        <v>2</v>
      </c>
      <c r="I82" s="3">
        <v>89</v>
      </c>
      <c r="J82" s="4">
        <v>0.15</v>
      </c>
      <c r="K82" s="5">
        <v>151.30000000000001</v>
      </c>
      <c r="L82" t="s">
        <v>23</v>
      </c>
      <c r="M82">
        <v>3</v>
      </c>
    </row>
    <row r="83" spans="1:13">
      <c r="A83" t="s">
        <v>133</v>
      </c>
      <c r="B83" s="1">
        <v>45701</v>
      </c>
      <c r="C83" t="s">
        <v>54</v>
      </c>
      <c r="D83" t="s">
        <v>35</v>
      </c>
      <c r="E83" t="s">
        <v>26</v>
      </c>
      <c r="F83" t="s">
        <v>60</v>
      </c>
      <c r="G83" t="s">
        <v>2</v>
      </c>
      <c r="H83">
        <v>1</v>
      </c>
      <c r="I83" s="3">
        <v>1890</v>
      </c>
      <c r="J83" s="4">
        <v>0.2</v>
      </c>
      <c r="K83" s="5">
        <v>1512</v>
      </c>
      <c r="L83" t="s">
        <v>23</v>
      </c>
    </row>
    <row r="84" spans="1:13">
      <c r="A84" t="s">
        <v>134</v>
      </c>
      <c r="B84" s="1">
        <v>45702</v>
      </c>
      <c r="C84" t="s">
        <v>25</v>
      </c>
      <c r="D84" t="s">
        <v>15</v>
      </c>
      <c r="E84" t="s">
        <v>62</v>
      </c>
      <c r="F84" t="s">
        <v>63</v>
      </c>
      <c r="G84" t="s">
        <v>22</v>
      </c>
      <c r="H84">
        <v>1</v>
      </c>
      <c r="I84" s="3">
        <v>2490</v>
      </c>
      <c r="J84" s="4">
        <v>0.05</v>
      </c>
      <c r="K84" s="5">
        <v>2365.5</v>
      </c>
      <c r="L84" t="s">
        <v>23</v>
      </c>
    </row>
    <row r="85" spans="1:13">
      <c r="A85" t="s">
        <v>135</v>
      </c>
      <c r="B85" s="1">
        <v>45703</v>
      </c>
      <c r="C85" t="s">
        <v>14</v>
      </c>
      <c r="D85" t="s">
        <v>15</v>
      </c>
      <c r="E85" t="s">
        <v>62</v>
      </c>
      <c r="F85" t="s">
        <v>77</v>
      </c>
      <c r="G85" t="s">
        <v>2</v>
      </c>
      <c r="H85">
        <v>1</v>
      </c>
      <c r="I85" s="3">
        <v>899</v>
      </c>
      <c r="J85" s="4">
        <v>0</v>
      </c>
      <c r="K85" s="5">
        <v>899</v>
      </c>
      <c r="L85" t="s">
        <v>23</v>
      </c>
      <c r="M85">
        <v>3</v>
      </c>
    </row>
    <row r="86" spans="1:13">
      <c r="A86" t="s">
        <v>136</v>
      </c>
      <c r="B86" s="1">
        <v>45704</v>
      </c>
      <c r="C86" t="s">
        <v>34</v>
      </c>
      <c r="D86" t="s">
        <v>35</v>
      </c>
      <c r="E86" t="s">
        <v>20</v>
      </c>
      <c r="F86" t="s">
        <v>21</v>
      </c>
      <c r="G86" t="s">
        <v>22</v>
      </c>
      <c r="H86">
        <v>1</v>
      </c>
      <c r="I86" s="3">
        <v>69</v>
      </c>
      <c r="J86" s="4">
        <v>0</v>
      </c>
      <c r="K86" s="5">
        <v>69</v>
      </c>
      <c r="L86" t="s">
        <v>23</v>
      </c>
      <c r="M86">
        <v>5</v>
      </c>
    </row>
    <row r="87" spans="1:13">
      <c r="A87" t="s">
        <v>137</v>
      </c>
      <c r="B87" s="1">
        <v>45706</v>
      </c>
      <c r="C87" t="s">
        <v>31</v>
      </c>
      <c r="D87" t="s">
        <v>15</v>
      </c>
      <c r="E87" t="s">
        <v>16</v>
      </c>
      <c r="F87" t="s">
        <v>32</v>
      </c>
      <c r="G87" t="s">
        <v>2</v>
      </c>
      <c r="H87">
        <v>1</v>
      </c>
      <c r="I87" s="3">
        <v>89</v>
      </c>
      <c r="J87" s="4">
        <v>0</v>
      </c>
      <c r="K87" s="5">
        <v>89</v>
      </c>
      <c r="L87" t="s">
        <v>23</v>
      </c>
      <c r="M87">
        <v>5</v>
      </c>
    </row>
    <row r="88" spans="1:13">
      <c r="A88" t="s">
        <v>138</v>
      </c>
      <c r="B88" s="1">
        <v>45706</v>
      </c>
      <c r="C88" t="s">
        <v>34</v>
      </c>
      <c r="D88" t="s">
        <v>35</v>
      </c>
      <c r="E88" t="s">
        <v>16</v>
      </c>
      <c r="F88" t="s">
        <v>32</v>
      </c>
      <c r="G88" t="s">
        <v>2</v>
      </c>
      <c r="H88">
        <v>1</v>
      </c>
      <c r="I88" s="3">
        <v>89</v>
      </c>
      <c r="J88" s="4">
        <v>0</v>
      </c>
      <c r="K88" s="5">
        <v>89</v>
      </c>
      <c r="L88" t="s">
        <v>23</v>
      </c>
      <c r="M88">
        <v>5</v>
      </c>
    </row>
    <row r="89" spans="1:13">
      <c r="A89" t="s">
        <v>139</v>
      </c>
      <c r="B89" s="1">
        <v>45707</v>
      </c>
      <c r="C89" t="s">
        <v>54</v>
      </c>
      <c r="D89" t="s">
        <v>35</v>
      </c>
      <c r="E89" t="s">
        <v>48</v>
      </c>
      <c r="F89" t="s">
        <v>79</v>
      </c>
      <c r="G89" t="s">
        <v>22</v>
      </c>
      <c r="H89">
        <v>1</v>
      </c>
      <c r="I89" s="3">
        <v>1790</v>
      </c>
      <c r="J89" s="4">
        <v>0</v>
      </c>
      <c r="K89" s="5">
        <v>1790</v>
      </c>
      <c r="L89" t="s">
        <v>38</v>
      </c>
      <c r="M89">
        <v>5</v>
      </c>
    </row>
    <row r="90" spans="1:13">
      <c r="A90" t="s">
        <v>140</v>
      </c>
      <c r="B90" s="1">
        <v>45707</v>
      </c>
      <c r="C90" t="s">
        <v>31</v>
      </c>
      <c r="D90" t="s">
        <v>15</v>
      </c>
      <c r="E90" t="s">
        <v>62</v>
      </c>
      <c r="F90" t="s">
        <v>63</v>
      </c>
      <c r="G90" t="s">
        <v>2</v>
      </c>
      <c r="H90">
        <v>2</v>
      </c>
      <c r="I90" s="3">
        <v>2490</v>
      </c>
      <c r="J90" s="4">
        <v>0</v>
      </c>
      <c r="K90" s="5">
        <v>4980</v>
      </c>
      <c r="L90" t="s">
        <v>23</v>
      </c>
      <c r="M90">
        <v>5</v>
      </c>
    </row>
    <row r="91" spans="1:13">
      <c r="A91" t="s">
        <v>141</v>
      </c>
      <c r="B91" s="1">
        <v>45708</v>
      </c>
      <c r="C91" t="s">
        <v>40</v>
      </c>
      <c r="D91" t="s">
        <v>41</v>
      </c>
      <c r="E91" t="s">
        <v>26</v>
      </c>
      <c r="F91" t="s">
        <v>29</v>
      </c>
      <c r="G91" t="s">
        <v>22</v>
      </c>
      <c r="H91">
        <v>1</v>
      </c>
      <c r="I91" s="3">
        <v>549</v>
      </c>
      <c r="J91" s="4">
        <v>0.1</v>
      </c>
      <c r="K91" s="5">
        <v>494.1</v>
      </c>
      <c r="L91" t="s">
        <v>23</v>
      </c>
      <c r="M91">
        <v>5</v>
      </c>
    </row>
    <row r="92" spans="1:13">
      <c r="A92" t="s">
        <v>142</v>
      </c>
      <c r="B92" s="1">
        <v>45708</v>
      </c>
      <c r="C92" t="s">
        <v>54</v>
      </c>
      <c r="D92" t="s">
        <v>35</v>
      </c>
      <c r="E92" t="s">
        <v>48</v>
      </c>
      <c r="F92" t="s">
        <v>79</v>
      </c>
      <c r="G92" t="s">
        <v>2</v>
      </c>
      <c r="H92">
        <v>2</v>
      </c>
      <c r="I92" s="3">
        <v>1790</v>
      </c>
      <c r="J92" s="4">
        <v>0.15</v>
      </c>
      <c r="K92" s="5">
        <v>3043</v>
      </c>
      <c r="L92" t="s">
        <v>51</v>
      </c>
      <c r="M92">
        <v>5</v>
      </c>
    </row>
    <row r="93" spans="1:13">
      <c r="A93" t="s">
        <v>143</v>
      </c>
      <c r="B93" s="1">
        <v>45709</v>
      </c>
      <c r="C93" t="s">
        <v>14</v>
      </c>
      <c r="D93" t="s">
        <v>15</v>
      </c>
      <c r="E93" t="s">
        <v>26</v>
      </c>
      <c r="F93" t="s">
        <v>29</v>
      </c>
      <c r="G93" t="s">
        <v>2</v>
      </c>
      <c r="H93">
        <v>1</v>
      </c>
      <c r="I93" s="3">
        <v>549</v>
      </c>
      <c r="J93" s="4">
        <v>0</v>
      </c>
      <c r="K93" s="5">
        <v>549</v>
      </c>
      <c r="L93" t="s">
        <v>23</v>
      </c>
      <c r="M93">
        <v>5</v>
      </c>
    </row>
    <row r="94" spans="1:13">
      <c r="A94" t="s">
        <v>144</v>
      </c>
      <c r="B94" s="1">
        <v>45709</v>
      </c>
      <c r="C94" t="s">
        <v>54</v>
      </c>
      <c r="D94" t="s">
        <v>35</v>
      </c>
      <c r="E94" t="s">
        <v>26</v>
      </c>
      <c r="F94" t="s">
        <v>29</v>
      </c>
      <c r="G94" t="s">
        <v>22</v>
      </c>
      <c r="H94">
        <v>1</v>
      </c>
      <c r="I94" s="3">
        <v>549</v>
      </c>
      <c r="J94" s="4">
        <v>0</v>
      </c>
      <c r="K94" s="5">
        <v>549</v>
      </c>
      <c r="L94" t="s">
        <v>23</v>
      </c>
    </row>
    <row r="95" spans="1:13">
      <c r="A95" t="s">
        <v>145</v>
      </c>
      <c r="B95" s="1">
        <v>45709</v>
      </c>
      <c r="C95" t="s">
        <v>34</v>
      </c>
      <c r="D95" t="s">
        <v>35</v>
      </c>
      <c r="E95" t="s">
        <v>62</v>
      </c>
      <c r="F95" t="s">
        <v>77</v>
      </c>
      <c r="G95" t="s">
        <v>2</v>
      </c>
      <c r="H95">
        <v>1</v>
      </c>
      <c r="I95" s="3">
        <v>899</v>
      </c>
      <c r="J95" s="4">
        <v>0</v>
      </c>
      <c r="K95" s="5">
        <v>899</v>
      </c>
      <c r="L95" t="s">
        <v>51</v>
      </c>
      <c r="M95">
        <v>4</v>
      </c>
    </row>
    <row r="96" spans="1:13">
      <c r="A96" t="s">
        <v>146</v>
      </c>
      <c r="B96" s="1">
        <v>45709</v>
      </c>
      <c r="C96" t="s">
        <v>25</v>
      </c>
      <c r="D96" t="s">
        <v>15</v>
      </c>
      <c r="E96" t="s">
        <v>16</v>
      </c>
      <c r="F96" t="s">
        <v>32</v>
      </c>
      <c r="G96" t="s">
        <v>2</v>
      </c>
      <c r="H96">
        <v>1</v>
      </c>
      <c r="I96" s="3">
        <v>89</v>
      </c>
      <c r="J96" s="4">
        <v>0</v>
      </c>
      <c r="K96" s="5">
        <v>89</v>
      </c>
      <c r="L96" t="s">
        <v>23</v>
      </c>
      <c r="M96">
        <v>5</v>
      </c>
    </row>
    <row r="97" spans="1:13">
      <c r="A97" t="s">
        <v>147</v>
      </c>
      <c r="B97" s="1">
        <v>45711</v>
      </c>
      <c r="C97" t="s">
        <v>57</v>
      </c>
      <c r="D97" t="s">
        <v>15</v>
      </c>
      <c r="E97" t="s">
        <v>20</v>
      </c>
      <c r="F97" t="s">
        <v>42</v>
      </c>
      <c r="G97" t="s">
        <v>37</v>
      </c>
      <c r="H97">
        <v>2</v>
      </c>
      <c r="I97" s="3">
        <v>59</v>
      </c>
      <c r="J97" s="4">
        <v>0</v>
      </c>
      <c r="K97" s="5">
        <v>118</v>
      </c>
      <c r="L97" t="s">
        <v>18</v>
      </c>
      <c r="M97">
        <v>3</v>
      </c>
    </row>
    <row r="98" spans="1:13">
      <c r="A98" t="s">
        <v>148</v>
      </c>
      <c r="B98" s="1">
        <v>45712</v>
      </c>
      <c r="C98" t="s">
        <v>44</v>
      </c>
      <c r="D98" t="s">
        <v>45</v>
      </c>
      <c r="E98" t="s">
        <v>16</v>
      </c>
      <c r="F98" t="s">
        <v>32</v>
      </c>
      <c r="G98" t="s">
        <v>2</v>
      </c>
      <c r="H98">
        <v>2</v>
      </c>
      <c r="I98" s="3">
        <v>89</v>
      </c>
      <c r="J98" s="4">
        <v>0.1</v>
      </c>
      <c r="K98" s="5">
        <v>160.19999999999999</v>
      </c>
      <c r="L98" t="s">
        <v>23</v>
      </c>
      <c r="M98">
        <v>3</v>
      </c>
    </row>
    <row r="99" spans="1:13">
      <c r="A99" t="s">
        <v>149</v>
      </c>
      <c r="B99" s="1">
        <v>45712</v>
      </c>
      <c r="C99" t="s">
        <v>57</v>
      </c>
      <c r="D99" t="s">
        <v>15</v>
      </c>
      <c r="E99" t="s">
        <v>48</v>
      </c>
      <c r="F99" t="s">
        <v>65</v>
      </c>
      <c r="G99" t="s">
        <v>2</v>
      </c>
      <c r="H99">
        <v>1</v>
      </c>
      <c r="I99" s="3">
        <v>2590</v>
      </c>
      <c r="J99" s="4">
        <v>0.05</v>
      </c>
      <c r="K99" s="5">
        <v>2460.5</v>
      </c>
      <c r="L99" t="s">
        <v>23</v>
      </c>
      <c r="M99">
        <v>5</v>
      </c>
    </row>
    <row r="100" spans="1:13">
      <c r="A100" t="s">
        <v>150</v>
      </c>
      <c r="B100" s="1">
        <v>45712</v>
      </c>
      <c r="C100" t="s">
        <v>54</v>
      </c>
      <c r="D100" t="s">
        <v>35</v>
      </c>
      <c r="E100" t="s">
        <v>26</v>
      </c>
      <c r="F100" t="s">
        <v>29</v>
      </c>
      <c r="G100" t="s">
        <v>37</v>
      </c>
      <c r="H100">
        <v>1</v>
      </c>
      <c r="I100" s="3">
        <v>549</v>
      </c>
      <c r="J100" s="4">
        <v>0.1</v>
      </c>
      <c r="K100" s="5">
        <v>494.1</v>
      </c>
      <c r="L100" t="s">
        <v>51</v>
      </c>
      <c r="M100">
        <v>4</v>
      </c>
    </row>
    <row r="101" spans="1:13">
      <c r="A101" t="s">
        <v>151</v>
      </c>
      <c r="B101" s="1">
        <v>45712</v>
      </c>
      <c r="C101" t="s">
        <v>40</v>
      </c>
      <c r="D101" t="s">
        <v>41</v>
      </c>
      <c r="E101" t="s">
        <v>26</v>
      </c>
      <c r="F101" t="s">
        <v>60</v>
      </c>
      <c r="G101" t="s">
        <v>22</v>
      </c>
      <c r="H101">
        <v>1</v>
      </c>
      <c r="I101" s="3">
        <v>1890</v>
      </c>
      <c r="J101" s="4">
        <v>0.1</v>
      </c>
      <c r="K101" s="5">
        <v>1701</v>
      </c>
      <c r="L101" t="s">
        <v>23</v>
      </c>
      <c r="M101">
        <v>2</v>
      </c>
    </row>
    <row r="102" spans="1:13">
      <c r="A102" t="s">
        <v>152</v>
      </c>
      <c r="B102" s="1">
        <v>45713</v>
      </c>
      <c r="C102" t="s">
        <v>44</v>
      </c>
      <c r="D102" t="s">
        <v>45</v>
      </c>
      <c r="E102" t="s">
        <v>26</v>
      </c>
      <c r="F102" t="s">
        <v>60</v>
      </c>
      <c r="G102" t="s">
        <v>2</v>
      </c>
      <c r="H102">
        <v>2</v>
      </c>
      <c r="I102" s="3">
        <v>1890</v>
      </c>
      <c r="J102" s="4">
        <v>0</v>
      </c>
      <c r="K102" s="5">
        <v>3780</v>
      </c>
      <c r="L102" t="s">
        <v>23</v>
      </c>
      <c r="M102">
        <v>4</v>
      </c>
    </row>
    <row r="103" spans="1:13">
      <c r="A103" t="s">
        <v>153</v>
      </c>
      <c r="B103" s="1">
        <v>45715</v>
      </c>
      <c r="C103" t="s">
        <v>14</v>
      </c>
      <c r="D103" t="s">
        <v>15</v>
      </c>
      <c r="E103" t="s">
        <v>20</v>
      </c>
      <c r="F103" t="s">
        <v>55</v>
      </c>
      <c r="G103" t="s">
        <v>22</v>
      </c>
      <c r="H103">
        <v>3</v>
      </c>
      <c r="I103" s="3">
        <v>35</v>
      </c>
      <c r="J103" s="4">
        <v>0</v>
      </c>
      <c r="K103" s="5">
        <v>105</v>
      </c>
      <c r="L103" t="s">
        <v>18</v>
      </c>
    </row>
    <row r="104" spans="1:13">
      <c r="A104" t="s">
        <v>154</v>
      </c>
      <c r="B104" s="1">
        <v>45715</v>
      </c>
      <c r="C104" t="s">
        <v>31</v>
      </c>
      <c r="D104" t="s">
        <v>15</v>
      </c>
      <c r="E104" t="s">
        <v>20</v>
      </c>
      <c r="F104" t="s">
        <v>21</v>
      </c>
      <c r="G104" t="s">
        <v>37</v>
      </c>
      <c r="H104">
        <v>1</v>
      </c>
      <c r="I104" s="3">
        <v>69</v>
      </c>
      <c r="J104" s="4">
        <v>0</v>
      </c>
      <c r="K104" s="5">
        <v>69</v>
      </c>
      <c r="L104" t="s">
        <v>23</v>
      </c>
      <c r="M104">
        <v>5</v>
      </c>
    </row>
    <row r="105" spans="1:13">
      <c r="A105" t="s">
        <v>155</v>
      </c>
      <c r="B105" s="1">
        <v>45715</v>
      </c>
      <c r="C105" t="s">
        <v>34</v>
      </c>
      <c r="D105" t="s">
        <v>35</v>
      </c>
      <c r="E105" t="s">
        <v>62</v>
      </c>
      <c r="F105" t="s">
        <v>100</v>
      </c>
      <c r="G105" t="s">
        <v>22</v>
      </c>
      <c r="H105">
        <v>1</v>
      </c>
      <c r="I105" s="3">
        <v>1190</v>
      </c>
      <c r="J105" s="4">
        <v>0</v>
      </c>
      <c r="K105" s="5">
        <v>1190</v>
      </c>
      <c r="L105" t="s">
        <v>18</v>
      </c>
      <c r="M105">
        <v>3</v>
      </c>
    </row>
    <row r="106" spans="1:13">
      <c r="A106" t="s">
        <v>156</v>
      </c>
      <c r="B106" s="1">
        <v>45715</v>
      </c>
      <c r="C106" t="s">
        <v>57</v>
      </c>
      <c r="D106" t="s">
        <v>15</v>
      </c>
      <c r="E106" t="s">
        <v>62</v>
      </c>
      <c r="F106" t="s">
        <v>63</v>
      </c>
      <c r="G106" t="s">
        <v>22</v>
      </c>
      <c r="H106">
        <v>1</v>
      </c>
      <c r="I106" s="3">
        <v>2490</v>
      </c>
      <c r="J106" s="4">
        <v>0</v>
      </c>
      <c r="K106" s="5">
        <v>2490</v>
      </c>
      <c r="L106" t="s">
        <v>18</v>
      </c>
      <c r="M106">
        <v>5</v>
      </c>
    </row>
    <row r="107" spans="1:13">
      <c r="A107" t="s">
        <v>157</v>
      </c>
      <c r="B107" s="1">
        <v>45716</v>
      </c>
      <c r="C107" t="s">
        <v>54</v>
      </c>
      <c r="D107" t="s">
        <v>35</v>
      </c>
      <c r="E107" t="s">
        <v>20</v>
      </c>
      <c r="F107" t="s">
        <v>21</v>
      </c>
      <c r="G107" t="s">
        <v>22</v>
      </c>
      <c r="H107">
        <v>1</v>
      </c>
      <c r="I107" s="3">
        <v>69</v>
      </c>
      <c r="J107" s="4">
        <v>0.15</v>
      </c>
      <c r="K107" s="5">
        <v>58.65</v>
      </c>
      <c r="L107" t="s">
        <v>23</v>
      </c>
      <c r="M107">
        <v>4</v>
      </c>
    </row>
    <row r="108" spans="1:13">
      <c r="A108" t="s">
        <v>158</v>
      </c>
      <c r="B108" s="1">
        <v>45716</v>
      </c>
      <c r="C108" t="s">
        <v>40</v>
      </c>
      <c r="D108" t="s">
        <v>41</v>
      </c>
      <c r="E108" t="s">
        <v>16</v>
      </c>
      <c r="F108" t="s">
        <v>32</v>
      </c>
      <c r="G108" t="s">
        <v>2</v>
      </c>
      <c r="H108">
        <v>1</v>
      </c>
      <c r="I108" s="3">
        <v>89</v>
      </c>
      <c r="J108" s="4">
        <v>0</v>
      </c>
      <c r="K108" s="5">
        <v>89</v>
      </c>
      <c r="L108" t="s">
        <v>18</v>
      </c>
      <c r="M108">
        <v>5</v>
      </c>
    </row>
    <row r="109" spans="1:13">
      <c r="A109" t="s">
        <v>159</v>
      </c>
      <c r="B109" s="1">
        <v>45716</v>
      </c>
      <c r="C109" t="s">
        <v>34</v>
      </c>
      <c r="D109" t="s">
        <v>35</v>
      </c>
      <c r="E109" t="s">
        <v>20</v>
      </c>
      <c r="F109" t="s">
        <v>55</v>
      </c>
      <c r="G109" t="s">
        <v>2</v>
      </c>
      <c r="H109">
        <v>3</v>
      </c>
      <c r="I109" s="3">
        <v>35</v>
      </c>
      <c r="J109" s="4">
        <v>0.05</v>
      </c>
      <c r="K109" s="5">
        <v>99.75</v>
      </c>
      <c r="L109" t="s">
        <v>38</v>
      </c>
      <c r="M109">
        <v>4</v>
      </c>
    </row>
    <row r="110" spans="1:13">
      <c r="A110" t="s">
        <v>160</v>
      </c>
      <c r="B110" s="1">
        <v>45718</v>
      </c>
      <c r="C110" t="s">
        <v>57</v>
      </c>
      <c r="D110" t="s">
        <v>15</v>
      </c>
      <c r="E110" t="s">
        <v>48</v>
      </c>
      <c r="F110" t="s">
        <v>79</v>
      </c>
      <c r="G110" t="s">
        <v>2</v>
      </c>
      <c r="H110">
        <v>1</v>
      </c>
      <c r="I110" s="3">
        <v>1790</v>
      </c>
      <c r="J110" s="4">
        <v>0</v>
      </c>
      <c r="K110" s="5">
        <v>1790</v>
      </c>
      <c r="L110" t="s">
        <v>38</v>
      </c>
      <c r="M110">
        <v>5</v>
      </c>
    </row>
    <row r="111" spans="1:13">
      <c r="A111" t="s">
        <v>161</v>
      </c>
      <c r="B111" s="1">
        <v>45718</v>
      </c>
      <c r="C111" t="s">
        <v>40</v>
      </c>
      <c r="D111" t="s">
        <v>41</v>
      </c>
      <c r="E111" t="s">
        <v>62</v>
      </c>
      <c r="F111" t="s">
        <v>100</v>
      </c>
      <c r="G111" t="s">
        <v>22</v>
      </c>
      <c r="H111">
        <v>1</v>
      </c>
      <c r="I111" s="3">
        <v>1190</v>
      </c>
      <c r="J111" s="4">
        <v>0.05</v>
      </c>
      <c r="K111" s="5">
        <v>1130.5</v>
      </c>
      <c r="L111" t="s">
        <v>23</v>
      </c>
      <c r="M111">
        <v>5</v>
      </c>
    </row>
    <row r="112" spans="1:13">
      <c r="A112" t="s">
        <v>162</v>
      </c>
      <c r="B112" s="1">
        <v>45718</v>
      </c>
      <c r="C112" t="s">
        <v>25</v>
      </c>
      <c r="D112" t="s">
        <v>15</v>
      </c>
      <c r="E112" t="s">
        <v>48</v>
      </c>
      <c r="F112" t="s">
        <v>65</v>
      </c>
      <c r="G112" t="s">
        <v>2</v>
      </c>
      <c r="H112">
        <v>1</v>
      </c>
      <c r="I112" s="3">
        <v>2590</v>
      </c>
      <c r="J112" s="4">
        <v>0.15</v>
      </c>
      <c r="K112" s="5">
        <v>2201.5</v>
      </c>
      <c r="L112" t="s">
        <v>23</v>
      </c>
      <c r="M112">
        <v>5</v>
      </c>
    </row>
    <row r="113" spans="1:13">
      <c r="A113" t="s">
        <v>163</v>
      </c>
      <c r="B113" s="1">
        <v>45718</v>
      </c>
      <c r="C113" t="s">
        <v>40</v>
      </c>
      <c r="D113" t="s">
        <v>41</v>
      </c>
      <c r="E113" t="s">
        <v>26</v>
      </c>
      <c r="F113" t="s">
        <v>29</v>
      </c>
      <c r="G113" t="s">
        <v>2</v>
      </c>
      <c r="H113">
        <v>1</v>
      </c>
      <c r="I113" s="3">
        <v>549</v>
      </c>
      <c r="J113" s="4">
        <v>0.1</v>
      </c>
      <c r="K113" s="5">
        <v>494.1</v>
      </c>
      <c r="L113" t="s">
        <v>23</v>
      </c>
      <c r="M113">
        <v>5</v>
      </c>
    </row>
    <row r="114" spans="1:13">
      <c r="A114" t="s">
        <v>164</v>
      </c>
      <c r="B114" s="1">
        <v>45718</v>
      </c>
      <c r="C114" t="s">
        <v>31</v>
      </c>
      <c r="D114" t="s">
        <v>15</v>
      </c>
      <c r="E114" t="s">
        <v>20</v>
      </c>
      <c r="F114" t="s">
        <v>75</v>
      </c>
      <c r="G114" t="s">
        <v>37</v>
      </c>
      <c r="H114">
        <v>1</v>
      </c>
      <c r="I114" s="3">
        <v>45</v>
      </c>
      <c r="J114" s="4">
        <v>0</v>
      </c>
      <c r="K114" s="5">
        <v>45</v>
      </c>
      <c r="L114" t="s">
        <v>23</v>
      </c>
      <c r="M114">
        <v>2</v>
      </c>
    </row>
    <row r="115" spans="1:13">
      <c r="A115" t="s">
        <v>165</v>
      </c>
      <c r="B115" s="1">
        <v>45719</v>
      </c>
      <c r="C115" t="s">
        <v>34</v>
      </c>
      <c r="D115" t="s">
        <v>35</v>
      </c>
      <c r="E115" t="s">
        <v>20</v>
      </c>
      <c r="F115" t="s">
        <v>55</v>
      </c>
      <c r="G115" t="s">
        <v>2</v>
      </c>
      <c r="H115">
        <v>3</v>
      </c>
      <c r="I115" s="3">
        <v>35</v>
      </c>
      <c r="J115" s="4">
        <v>0</v>
      </c>
      <c r="K115" s="5">
        <v>105</v>
      </c>
      <c r="L115" t="s">
        <v>51</v>
      </c>
      <c r="M115">
        <v>3</v>
      </c>
    </row>
    <row r="116" spans="1:13">
      <c r="A116" t="s">
        <v>166</v>
      </c>
      <c r="B116" s="1">
        <v>45719</v>
      </c>
      <c r="C116" t="s">
        <v>40</v>
      </c>
      <c r="D116" t="s">
        <v>41</v>
      </c>
      <c r="E116" t="s">
        <v>62</v>
      </c>
      <c r="F116" t="s">
        <v>63</v>
      </c>
      <c r="G116" t="s">
        <v>22</v>
      </c>
      <c r="H116">
        <v>1</v>
      </c>
      <c r="I116" s="3">
        <v>2490</v>
      </c>
      <c r="J116" s="4">
        <v>0</v>
      </c>
      <c r="K116" s="5">
        <v>2490</v>
      </c>
      <c r="L116" t="s">
        <v>51</v>
      </c>
      <c r="M116">
        <v>4</v>
      </c>
    </row>
    <row r="117" spans="1:13">
      <c r="A117" t="s">
        <v>167</v>
      </c>
      <c r="B117" s="1">
        <v>45722</v>
      </c>
      <c r="C117" t="s">
        <v>40</v>
      </c>
      <c r="D117" t="s">
        <v>41</v>
      </c>
      <c r="E117" t="s">
        <v>48</v>
      </c>
      <c r="F117" t="s">
        <v>49</v>
      </c>
      <c r="G117" t="s">
        <v>2</v>
      </c>
      <c r="H117">
        <v>1</v>
      </c>
      <c r="I117" s="3">
        <v>3990</v>
      </c>
      <c r="J117" s="4">
        <v>0.05</v>
      </c>
      <c r="K117" s="5">
        <v>3790.5</v>
      </c>
      <c r="L117" t="s">
        <v>51</v>
      </c>
      <c r="M117">
        <v>5</v>
      </c>
    </row>
    <row r="118" spans="1:13">
      <c r="A118" t="s">
        <v>168</v>
      </c>
      <c r="B118" s="1">
        <v>45722</v>
      </c>
      <c r="C118" t="s">
        <v>31</v>
      </c>
      <c r="D118" t="s">
        <v>15</v>
      </c>
      <c r="E118" t="s">
        <v>20</v>
      </c>
      <c r="F118" t="s">
        <v>21</v>
      </c>
      <c r="G118" t="s">
        <v>2</v>
      </c>
      <c r="H118">
        <v>2</v>
      </c>
      <c r="I118" s="3">
        <v>69</v>
      </c>
      <c r="J118" s="4">
        <v>0.1</v>
      </c>
      <c r="K118" s="5">
        <v>124.2</v>
      </c>
      <c r="L118" t="s">
        <v>23</v>
      </c>
      <c r="M118">
        <v>2</v>
      </c>
    </row>
    <row r="119" spans="1:13">
      <c r="A119" t="s">
        <v>169</v>
      </c>
      <c r="B119" s="1">
        <v>45722</v>
      </c>
      <c r="C119" t="s">
        <v>44</v>
      </c>
      <c r="D119" t="s">
        <v>45</v>
      </c>
      <c r="E119" t="s">
        <v>16</v>
      </c>
      <c r="F119" t="s">
        <v>46</v>
      </c>
      <c r="G119" t="s">
        <v>2</v>
      </c>
      <c r="H119">
        <v>1</v>
      </c>
      <c r="I119" s="3">
        <v>29</v>
      </c>
      <c r="J119" s="4">
        <v>0</v>
      </c>
      <c r="K119" s="5">
        <v>29</v>
      </c>
      <c r="L119" t="s">
        <v>18</v>
      </c>
      <c r="M119">
        <v>5</v>
      </c>
    </row>
    <row r="120" spans="1:13">
      <c r="A120" t="s">
        <v>170</v>
      </c>
      <c r="B120" s="1">
        <v>45722</v>
      </c>
      <c r="C120" t="s">
        <v>44</v>
      </c>
      <c r="D120" t="s">
        <v>45</v>
      </c>
      <c r="E120" t="s">
        <v>62</v>
      </c>
      <c r="F120" t="s">
        <v>100</v>
      </c>
      <c r="G120" t="s">
        <v>37</v>
      </c>
      <c r="H120">
        <v>2</v>
      </c>
      <c r="I120" s="3">
        <v>1190</v>
      </c>
      <c r="J120" s="4">
        <v>0.1</v>
      </c>
      <c r="K120" s="5">
        <v>2142</v>
      </c>
      <c r="L120" t="s">
        <v>23</v>
      </c>
      <c r="M120">
        <v>5</v>
      </c>
    </row>
    <row r="121" spans="1:13">
      <c r="A121" t="s">
        <v>171</v>
      </c>
      <c r="B121" s="1">
        <v>45722</v>
      </c>
      <c r="C121" t="s">
        <v>25</v>
      </c>
      <c r="D121" t="s">
        <v>15</v>
      </c>
      <c r="E121" t="s">
        <v>26</v>
      </c>
      <c r="F121" t="s">
        <v>29</v>
      </c>
      <c r="G121" t="s">
        <v>2</v>
      </c>
      <c r="H121">
        <v>1</v>
      </c>
      <c r="I121" s="3">
        <v>549</v>
      </c>
      <c r="J121" s="4">
        <v>0</v>
      </c>
      <c r="K121" s="5">
        <v>549</v>
      </c>
      <c r="L121" t="s">
        <v>23</v>
      </c>
      <c r="M121">
        <v>4</v>
      </c>
    </row>
    <row r="122" spans="1:13">
      <c r="A122" t="s">
        <v>172</v>
      </c>
      <c r="B122" s="1">
        <v>45723</v>
      </c>
      <c r="C122" t="s">
        <v>14</v>
      </c>
      <c r="D122" t="s">
        <v>15</v>
      </c>
      <c r="E122" t="s">
        <v>62</v>
      </c>
      <c r="F122" t="s">
        <v>63</v>
      </c>
      <c r="G122" t="s">
        <v>2</v>
      </c>
      <c r="H122">
        <v>1</v>
      </c>
      <c r="I122" s="3">
        <v>2490</v>
      </c>
      <c r="J122" s="4">
        <v>0</v>
      </c>
      <c r="K122" s="5">
        <v>2490</v>
      </c>
      <c r="L122" t="s">
        <v>23</v>
      </c>
      <c r="M122">
        <v>4</v>
      </c>
    </row>
    <row r="123" spans="1:13">
      <c r="A123" t="s">
        <v>173</v>
      </c>
      <c r="B123" s="1">
        <v>45723</v>
      </c>
      <c r="C123" t="s">
        <v>14</v>
      </c>
      <c r="D123" t="s">
        <v>15</v>
      </c>
      <c r="E123" t="s">
        <v>16</v>
      </c>
      <c r="F123" t="s">
        <v>17</v>
      </c>
      <c r="G123" t="s">
        <v>2</v>
      </c>
      <c r="H123">
        <v>1</v>
      </c>
      <c r="I123" s="3">
        <v>19</v>
      </c>
      <c r="J123" s="4">
        <v>0</v>
      </c>
      <c r="K123" s="5">
        <v>19</v>
      </c>
      <c r="L123" t="s">
        <v>23</v>
      </c>
      <c r="M123">
        <v>5</v>
      </c>
    </row>
    <row r="124" spans="1:13">
      <c r="A124" t="s">
        <v>174</v>
      </c>
      <c r="B124" s="1">
        <v>45723</v>
      </c>
      <c r="C124" t="s">
        <v>40</v>
      </c>
      <c r="D124" t="s">
        <v>41</v>
      </c>
      <c r="E124" t="s">
        <v>16</v>
      </c>
      <c r="F124" t="s">
        <v>46</v>
      </c>
      <c r="G124" t="s">
        <v>2</v>
      </c>
      <c r="H124">
        <v>1</v>
      </c>
      <c r="I124" s="3">
        <v>29</v>
      </c>
      <c r="J124" s="4">
        <v>0.2</v>
      </c>
      <c r="K124" s="5">
        <v>23.2</v>
      </c>
      <c r="L124" t="s">
        <v>51</v>
      </c>
      <c r="M124">
        <v>5</v>
      </c>
    </row>
    <row r="125" spans="1:13">
      <c r="A125" t="s">
        <v>175</v>
      </c>
      <c r="B125" s="1">
        <v>45723</v>
      </c>
      <c r="C125" t="s">
        <v>57</v>
      </c>
      <c r="D125" t="s">
        <v>15</v>
      </c>
      <c r="E125" t="s">
        <v>26</v>
      </c>
      <c r="F125" t="s">
        <v>27</v>
      </c>
      <c r="G125" t="s">
        <v>2</v>
      </c>
      <c r="H125">
        <v>1</v>
      </c>
      <c r="I125" s="3">
        <v>699</v>
      </c>
      <c r="J125" s="4">
        <v>0.1</v>
      </c>
      <c r="K125" s="5">
        <v>629.1</v>
      </c>
      <c r="L125" t="s">
        <v>23</v>
      </c>
      <c r="M125">
        <v>5</v>
      </c>
    </row>
    <row r="126" spans="1:13">
      <c r="A126" t="s">
        <v>176</v>
      </c>
      <c r="B126" s="1">
        <v>45724</v>
      </c>
      <c r="C126" t="s">
        <v>31</v>
      </c>
      <c r="D126" t="s">
        <v>15</v>
      </c>
      <c r="E126" t="s">
        <v>48</v>
      </c>
      <c r="F126" t="s">
        <v>65</v>
      </c>
      <c r="G126" t="s">
        <v>37</v>
      </c>
      <c r="H126">
        <v>1</v>
      </c>
      <c r="I126" s="3">
        <v>2590</v>
      </c>
      <c r="J126" s="4">
        <v>0</v>
      </c>
      <c r="K126" s="5">
        <v>2590</v>
      </c>
      <c r="L126" t="s">
        <v>51</v>
      </c>
      <c r="M126">
        <v>4</v>
      </c>
    </row>
    <row r="127" spans="1:13">
      <c r="A127" t="s">
        <v>177</v>
      </c>
      <c r="B127" s="1">
        <v>45724</v>
      </c>
      <c r="C127" t="s">
        <v>57</v>
      </c>
      <c r="D127" t="s">
        <v>15</v>
      </c>
      <c r="E127" t="s">
        <v>62</v>
      </c>
      <c r="F127" t="s">
        <v>77</v>
      </c>
      <c r="G127" t="s">
        <v>22</v>
      </c>
      <c r="H127">
        <v>1</v>
      </c>
      <c r="I127" s="3">
        <v>899</v>
      </c>
      <c r="J127" s="4">
        <v>0.05</v>
      </c>
      <c r="K127" s="5">
        <v>854.05</v>
      </c>
      <c r="L127" t="s">
        <v>23</v>
      </c>
      <c r="M127">
        <v>3</v>
      </c>
    </row>
    <row r="128" spans="1:13">
      <c r="A128" t="s">
        <v>178</v>
      </c>
      <c r="B128" s="1">
        <v>45724</v>
      </c>
      <c r="C128" t="s">
        <v>54</v>
      </c>
      <c r="D128" t="s">
        <v>35</v>
      </c>
      <c r="E128" t="s">
        <v>26</v>
      </c>
      <c r="F128" t="s">
        <v>27</v>
      </c>
      <c r="G128" t="s">
        <v>22</v>
      </c>
      <c r="H128">
        <v>1</v>
      </c>
      <c r="I128" s="3">
        <v>699</v>
      </c>
      <c r="J128" s="4">
        <v>0.1</v>
      </c>
      <c r="K128" s="5">
        <v>629.1</v>
      </c>
      <c r="L128" t="s">
        <v>23</v>
      </c>
    </row>
    <row r="129" spans="1:13">
      <c r="A129" t="s">
        <v>179</v>
      </c>
      <c r="B129" s="1">
        <v>45725</v>
      </c>
      <c r="C129" t="s">
        <v>14</v>
      </c>
      <c r="D129" t="s">
        <v>15</v>
      </c>
      <c r="E129" t="s">
        <v>48</v>
      </c>
      <c r="F129" t="s">
        <v>65</v>
      </c>
      <c r="G129" t="s">
        <v>37</v>
      </c>
      <c r="H129">
        <v>1</v>
      </c>
      <c r="I129" s="3">
        <v>2590</v>
      </c>
      <c r="J129" s="4">
        <v>0</v>
      </c>
      <c r="K129" s="5">
        <v>2590</v>
      </c>
      <c r="L129" t="s">
        <v>51</v>
      </c>
      <c r="M129">
        <v>5</v>
      </c>
    </row>
    <row r="130" spans="1:13">
      <c r="A130" t="s">
        <v>180</v>
      </c>
      <c r="B130" s="1">
        <v>45725</v>
      </c>
      <c r="C130" t="s">
        <v>57</v>
      </c>
      <c r="D130" t="s">
        <v>15</v>
      </c>
      <c r="E130" t="s">
        <v>20</v>
      </c>
      <c r="F130" t="s">
        <v>75</v>
      </c>
      <c r="G130" t="s">
        <v>22</v>
      </c>
      <c r="H130">
        <v>1</v>
      </c>
      <c r="I130" s="3">
        <v>45</v>
      </c>
      <c r="J130" s="4">
        <v>0.1</v>
      </c>
      <c r="K130" s="5">
        <v>40.5</v>
      </c>
      <c r="L130" t="s">
        <v>18</v>
      </c>
      <c r="M130">
        <v>3</v>
      </c>
    </row>
    <row r="131" spans="1:13">
      <c r="A131" t="s">
        <v>181</v>
      </c>
      <c r="B131" s="1">
        <v>45726</v>
      </c>
      <c r="C131" t="s">
        <v>34</v>
      </c>
      <c r="D131" t="s">
        <v>35</v>
      </c>
      <c r="E131" t="s">
        <v>16</v>
      </c>
      <c r="F131" t="s">
        <v>17</v>
      </c>
      <c r="G131" t="s">
        <v>2</v>
      </c>
      <c r="H131">
        <v>1</v>
      </c>
      <c r="I131" s="3">
        <v>19</v>
      </c>
      <c r="J131" s="4">
        <v>0.1</v>
      </c>
      <c r="K131" s="5">
        <v>17.100000000000001</v>
      </c>
      <c r="L131" t="s">
        <v>38</v>
      </c>
      <c r="M131">
        <v>4</v>
      </c>
    </row>
    <row r="132" spans="1:13">
      <c r="A132" t="s">
        <v>182</v>
      </c>
      <c r="B132" s="1">
        <v>45726</v>
      </c>
      <c r="C132" t="s">
        <v>34</v>
      </c>
      <c r="D132" t="s">
        <v>35</v>
      </c>
      <c r="E132" t="s">
        <v>20</v>
      </c>
      <c r="F132" t="s">
        <v>55</v>
      </c>
      <c r="G132" t="s">
        <v>2</v>
      </c>
      <c r="H132">
        <v>3</v>
      </c>
      <c r="I132" s="3">
        <v>35</v>
      </c>
      <c r="J132" s="4">
        <v>0</v>
      </c>
      <c r="K132" s="5">
        <v>105</v>
      </c>
      <c r="L132" t="s">
        <v>18</v>
      </c>
      <c r="M132">
        <v>4</v>
      </c>
    </row>
    <row r="133" spans="1:13">
      <c r="A133" t="s">
        <v>183</v>
      </c>
      <c r="B133" s="1">
        <v>45726</v>
      </c>
      <c r="C133" t="s">
        <v>57</v>
      </c>
      <c r="D133" t="s">
        <v>15</v>
      </c>
      <c r="E133" t="s">
        <v>20</v>
      </c>
      <c r="F133" t="s">
        <v>42</v>
      </c>
      <c r="G133" t="s">
        <v>22</v>
      </c>
      <c r="H133">
        <v>2</v>
      </c>
      <c r="I133" s="3">
        <v>59</v>
      </c>
      <c r="J133" s="4">
        <v>0</v>
      </c>
      <c r="K133" s="5">
        <v>118</v>
      </c>
      <c r="L133" t="s">
        <v>51</v>
      </c>
      <c r="M133">
        <v>4</v>
      </c>
    </row>
    <row r="134" spans="1:13">
      <c r="A134" t="s">
        <v>184</v>
      </c>
      <c r="B134" s="1">
        <v>45726</v>
      </c>
      <c r="C134" t="s">
        <v>54</v>
      </c>
      <c r="D134" t="s">
        <v>35</v>
      </c>
      <c r="E134" t="s">
        <v>48</v>
      </c>
      <c r="F134" t="s">
        <v>79</v>
      </c>
      <c r="G134" t="s">
        <v>2</v>
      </c>
      <c r="H134">
        <v>2</v>
      </c>
      <c r="I134" s="3">
        <v>1790</v>
      </c>
      <c r="J134" s="4">
        <v>0.05</v>
      </c>
      <c r="K134" s="5">
        <v>3401</v>
      </c>
      <c r="L134" t="s">
        <v>23</v>
      </c>
    </row>
    <row r="135" spans="1:13">
      <c r="A135" t="s">
        <v>185</v>
      </c>
      <c r="B135" s="1">
        <v>45726</v>
      </c>
      <c r="C135" t="s">
        <v>40</v>
      </c>
      <c r="D135" t="s">
        <v>41</v>
      </c>
      <c r="E135" t="s">
        <v>16</v>
      </c>
      <c r="F135" t="s">
        <v>46</v>
      </c>
      <c r="G135" t="s">
        <v>2</v>
      </c>
      <c r="H135">
        <v>1</v>
      </c>
      <c r="I135" s="3">
        <v>29</v>
      </c>
      <c r="J135" s="4">
        <v>0.1</v>
      </c>
      <c r="K135" s="5">
        <v>26.1</v>
      </c>
      <c r="L135" t="s">
        <v>38</v>
      </c>
      <c r="M135">
        <v>5</v>
      </c>
    </row>
    <row r="136" spans="1:13">
      <c r="A136" t="s">
        <v>186</v>
      </c>
      <c r="B136" s="1">
        <v>45727</v>
      </c>
      <c r="C136" t="s">
        <v>31</v>
      </c>
      <c r="D136" t="s">
        <v>15</v>
      </c>
      <c r="E136" t="s">
        <v>20</v>
      </c>
      <c r="F136" t="s">
        <v>42</v>
      </c>
      <c r="G136" t="s">
        <v>22</v>
      </c>
      <c r="H136">
        <v>1</v>
      </c>
      <c r="I136" s="3">
        <v>59</v>
      </c>
      <c r="J136" s="4">
        <v>0</v>
      </c>
      <c r="K136" s="5">
        <v>59</v>
      </c>
      <c r="L136" t="s">
        <v>18</v>
      </c>
      <c r="M136">
        <v>5</v>
      </c>
    </row>
    <row r="137" spans="1:13">
      <c r="A137" t="s">
        <v>187</v>
      </c>
      <c r="B137" s="1">
        <v>45728</v>
      </c>
      <c r="C137" t="s">
        <v>31</v>
      </c>
      <c r="D137" t="s">
        <v>15</v>
      </c>
      <c r="E137" t="s">
        <v>26</v>
      </c>
      <c r="F137" t="s">
        <v>60</v>
      </c>
      <c r="G137" t="s">
        <v>2</v>
      </c>
      <c r="H137">
        <v>2</v>
      </c>
      <c r="I137" s="3">
        <v>1890</v>
      </c>
      <c r="J137" s="4">
        <v>0</v>
      </c>
      <c r="K137" s="5">
        <v>3780</v>
      </c>
      <c r="L137" t="s">
        <v>18</v>
      </c>
      <c r="M137">
        <v>4</v>
      </c>
    </row>
    <row r="138" spans="1:13">
      <c r="A138" t="s">
        <v>188</v>
      </c>
      <c r="B138" s="1">
        <v>45729</v>
      </c>
      <c r="C138" t="s">
        <v>40</v>
      </c>
      <c r="D138" t="s">
        <v>41</v>
      </c>
      <c r="E138" t="s">
        <v>48</v>
      </c>
      <c r="F138" t="s">
        <v>79</v>
      </c>
      <c r="G138" t="s">
        <v>22</v>
      </c>
      <c r="H138">
        <v>1</v>
      </c>
      <c r="I138" s="3">
        <v>1790</v>
      </c>
      <c r="J138" s="4">
        <v>0</v>
      </c>
      <c r="K138" s="5">
        <v>1790</v>
      </c>
      <c r="L138" t="s">
        <v>23</v>
      </c>
      <c r="M138">
        <v>3</v>
      </c>
    </row>
    <row r="139" spans="1:13">
      <c r="A139" t="s">
        <v>189</v>
      </c>
      <c r="B139" s="1">
        <v>45730</v>
      </c>
      <c r="C139" t="s">
        <v>34</v>
      </c>
      <c r="D139" t="s">
        <v>35</v>
      </c>
      <c r="E139" t="s">
        <v>20</v>
      </c>
      <c r="F139" t="s">
        <v>75</v>
      </c>
      <c r="G139" t="s">
        <v>2</v>
      </c>
      <c r="H139">
        <v>3</v>
      </c>
      <c r="I139" s="3">
        <v>45</v>
      </c>
      <c r="J139" s="4">
        <v>0</v>
      </c>
      <c r="K139" s="5">
        <v>135</v>
      </c>
      <c r="L139" t="s">
        <v>18</v>
      </c>
      <c r="M139">
        <v>3</v>
      </c>
    </row>
    <row r="140" spans="1:13">
      <c r="A140" t="s">
        <v>190</v>
      </c>
      <c r="B140" s="1">
        <v>45731</v>
      </c>
      <c r="C140" t="s">
        <v>34</v>
      </c>
      <c r="D140" t="s">
        <v>35</v>
      </c>
      <c r="E140" t="s">
        <v>20</v>
      </c>
      <c r="F140" t="s">
        <v>75</v>
      </c>
      <c r="G140" t="s">
        <v>2</v>
      </c>
      <c r="H140">
        <v>1</v>
      </c>
      <c r="I140" s="3">
        <v>45</v>
      </c>
      <c r="J140" s="4">
        <v>0.05</v>
      </c>
      <c r="K140" s="5">
        <v>42.75</v>
      </c>
      <c r="L140" t="s">
        <v>23</v>
      </c>
      <c r="M140">
        <v>5</v>
      </c>
    </row>
    <row r="141" spans="1:13">
      <c r="A141" t="s">
        <v>191</v>
      </c>
      <c r="B141" s="1">
        <v>45732</v>
      </c>
      <c r="C141" t="s">
        <v>57</v>
      </c>
      <c r="D141" t="s">
        <v>15</v>
      </c>
      <c r="E141" t="s">
        <v>62</v>
      </c>
      <c r="F141" t="s">
        <v>100</v>
      </c>
      <c r="G141" t="s">
        <v>22</v>
      </c>
      <c r="H141">
        <v>1</v>
      </c>
      <c r="I141" s="3">
        <v>1190</v>
      </c>
      <c r="J141" s="4">
        <v>0</v>
      </c>
      <c r="K141" s="5">
        <v>1190</v>
      </c>
      <c r="L141" t="s">
        <v>23</v>
      </c>
      <c r="M141">
        <v>1</v>
      </c>
    </row>
    <row r="142" spans="1:13">
      <c r="A142" t="s">
        <v>192</v>
      </c>
      <c r="B142" s="1">
        <v>45733</v>
      </c>
      <c r="C142" t="s">
        <v>14</v>
      </c>
      <c r="D142" t="s">
        <v>15</v>
      </c>
      <c r="E142" t="s">
        <v>20</v>
      </c>
      <c r="F142" t="s">
        <v>75</v>
      </c>
      <c r="G142" t="s">
        <v>22</v>
      </c>
      <c r="H142">
        <v>3</v>
      </c>
      <c r="I142" s="3">
        <v>45</v>
      </c>
      <c r="J142" s="4">
        <v>0</v>
      </c>
      <c r="K142" s="5">
        <v>135</v>
      </c>
      <c r="L142" t="s">
        <v>51</v>
      </c>
      <c r="M142">
        <v>5</v>
      </c>
    </row>
    <row r="143" spans="1:13">
      <c r="A143" t="s">
        <v>193</v>
      </c>
      <c r="B143" s="1">
        <v>45733</v>
      </c>
      <c r="C143" t="s">
        <v>31</v>
      </c>
      <c r="D143" t="s">
        <v>15</v>
      </c>
      <c r="E143" t="s">
        <v>62</v>
      </c>
      <c r="F143" t="s">
        <v>63</v>
      </c>
      <c r="G143" t="s">
        <v>22</v>
      </c>
      <c r="H143">
        <v>1</v>
      </c>
      <c r="I143" s="3">
        <v>2490</v>
      </c>
      <c r="J143" s="4">
        <v>0.1</v>
      </c>
      <c r="K143" s="5">
        <v>2241</v>
      </c>
      <c r="L143" t="s">
        <v>51</v>
      </c>
      <c r="M143">
        <v>4</v>
      </c>
    </row>
    <row r="144" spans="1:13">
      <c r="A144" t="s">
        <v>194</v>
      </c>
      <c r="B144" s="1">
        <v>45733</v>
      </c>
      <c r="C144" t="s">
        <v>54</v>
      </c>
      <c r="D144" t="s">
        <v>35</v>
      </c>
      <c r="E144" t="s">
        <v>20</v>
      </c>
      <c r="F144" t="s">
        <v>75</v>
      </c>
      <c r="G144" t="s">
        <v>2</v>
      </c>
      <c r="H144">
        <v>3</v>
      </c>
      <c r="I144" s="3">
        <v>45</v>
      </c>
      <c r="J144" s="4">
        <v>0</v>
      </c>
      <c r="K144" s="5">
        <v>135</v>
      </c>
      <c r="L144" t="s">
        <v>23</v>
      </c>
      <c r="M144">
        <v>3</v>
      </c>
    </row>
    <row r="145" spans="1:13">
      <c r="A145" t="s">
        <v>195</v>
      </c>
      <c r="B145" s="1">
        <v>45733</v>
      </c>
      <c r="C145" t="s">
        <v>40</v>
      </c>
      <c r="D145" t="s">
        <v>41</v>
      </c>
      <c r="E145" t="s">
        <v>20</v>
      </c>
      <c r="F145" t="s">
        <v>42</v>
      </c>
      <c r="G145" t="s">
        <v>2</v>
      </c>
      <c r="H145">
        <v>1</v>
      </c>
      <c r="I145" s="3">
        <v>59</v>
      </c>
      <c r="J145" s="4">
        <v>0</v>
      </c>
      <c r="K145" s="5">
        <v>59</v>
      </c>
      <c r="L145" t="s">
        <v>38</v>
      </c>
      <c r="M145">
        <v>5</v>
      </c>
    </row>
    <row r="146" spans="1:13">
      <c r="A146" t="s">
        <v>196</v>
      </c>
      <c r="B146" s="1">
        <v>45734</v>
      </c>
      <c r="C146" t="s">
        <v>34</v>
      </c>
      <c r="D146" t="s">
        <v>35</v>
      </c>
      <c r="E146" t="s">
        <v>16</v>
      </c>
      <c r="F146" t="s">
        <v>46</v>
      </c>
      <c r="G146" t="s">
        <v>2</v>
      </c>
      <c r="H146">
        <v>1</v>
      </c>
      <c r="I146" s="3">
        <v>29</v>
      </c>
      <c r="J146" s="4">
        <v>0</v>
      </c>
      <c r="K146" s="5">
        <v>29</v>
      </c>
      <c r="L146" t="s">
        <v>23</v>
      </c>
      <c r="M146">
        <v>5</v>
      </c>
    </row>
    <row r="147" spans="1:13">
      <c r="A147" t="s">
        <v>197</v>
      </c>
      <c r="B147" s="1">
        <v>45735</v>
      </c>
      <c r="C147" t="s">
        <v>34</v>
      </c>
      <c r="D147" t="s">
        <v>35</v>
      </c>
      <c r="E147" t="s">
        <v>20</v>
      </c>
      <c r="F147" t="s">
        <v>21</v>
      </c>
      <c r="G147" t="s">
        <v>22</v>
      </c>
      <c r="H147">
        <v>1</v>
      </c>
      <c r="I147" s="3">
        <v>69</v>
      </c>
      <c r="J147" s="4">
        <v>0</v>
      </c>
      <c r="K147" s="5">
        <v>69</v>
      </c>
      <c r="L147" t="s">
        <v>38</v>
      </c>
      <c r="M147">
        <v>5</v>
      </c>
    </row>
    <row r="148" spans="1:13">
      <c r="A148" t="s">
        <v>198</v>
      </c>
      <c r="B148" s="1">
        <v>45735</v>
      </c>
      <c r="C148" t="s">
        <v>34</v>
      </c>
      <c r="D148" t="s">
        <v>35</v>
      </c>
      <c r="E148" t="s">
        <v>62</v>
      </c>
      <c r="F148" t="s">
        <v>63</v>
      </c>
      <c r="G148" t="s">
        <v>22</v>
      </c>
      <c r="H148">
        <v>1</v>
      </c>
      <c r="I148" s="3">
        <v>2490</v>
      </c>
      <c r="J148" s="4">
        <v>0</v>
      </c>
      <c r="K148" s="5">
        <v>2490</v>
      </c>
      <c r="L148" t="s">
        <v>23</v>
      </c>
      <c r="M148">
        <v>4</v>
      </c>
    </row>
    <row r="149" spans="1:13">
      <c r="A149" t="s">
        <v>199</v>
      </c>
      <c r="B149" s="1">
        <v>45736</v>
      </c>
      <c r="C149" t="s">
        <v>54</v>
      </c>
      <c r="D149" t="s">
        <v>35</v>
      </c>
      <c r="E149" t="s">
        <v>20</v>
      </c>
      <c r="F149" t="s">
        <v>21</v>
      </c>
      <c r="G149" t="s">
        <v>2</v>
      </c>
      <c r="H149">
        <v>1</v>
      </c>
      <c r="I149" s="3">
        <v>69</v>
      </c>
      <c r="J149" s="4">
        <v>0</v>
      </c>
      <c r="K149" s="5">
        <v>69</v>
      </c>
      <c r="L149" t="s">
        <v>38</v>
      </c>
      <c r="M149">
        <v>4</v>
      </c>
    </row>
    <row r="150" spans="1:13">
      <c r="A150" t="s">
        <v>200</v>
      </c>
      <c r="B150" s="1">
        <v>45738</v>
      </c>
      <c r="C150" t="s">
        <v>31</v>
      </c>
      <c r="D150" t="s">
        <v>15</v>
      </c>
      <c r="E150" t="s">
        <v>16</v>
      </c>
      <c r="F150" t="s">
        <v>46</v>
      </c>
      <c r="G150" t="s">
        <v>2</v>
      </c>
      <c r="H150">
        <v>1</v>
      </c>
      <c r="I150" s="3">
        <v>29</v>
      </c>
      <c r="J150" s="4">
        <v>0.05</v>
      </c>
      <c r="K150" s="5">
        <v>27.55</v>
      </c>
      <c r="L150" t="s">
        <v>23</v>
      </c>
      <c r="M150">
        <v>3</v>
      </c>
    </row>
    <row r="151" spans="1:13">
      <c r="A151" t="s">
        <v>201</v>
      </c>
      <c r="B151" s="1">
        <v>45740</v>
      </c>
      <c r="C151" t="s">
        <v>57</v>
      </c>
      <c r="D151" t="s">
        <v>15</v>
      </c>
      <c r="E151" t="s">
        <v>20</v>
      </c>
      <c r="F151" t="s">
        <v>42</v>
      </c>
      <c r="G151" t="s">
        <v>22</v>
      </c>
      <c r="H151">
        <v>5</v>
      </c>
      <c r="I151" s="3">
        <v>59</v>
      </c>
      <c r="J151" s="4">
        <v>0.1</v>
      </c>
      <c r="K151" s="5">
        <v>265.5</v>
      </c>
      <c r="L151" t="s">
        <v>23</v>
      </c>
      <c r="M151">
        <v>4</v>
      </c>
    </row>
    <row r="152" spans="1:13">
      <c r="A152" t="s">
        <v>202</v>
      </c>
      <c r="B152" s="1">
        <v>45741</v>
      </c>
      <c r="C152" t="s">
        <v>34</v>
      </c>
      <c r="D152" t="s">
        <v>35</v>
      </c>
      <c r="E152" t="s">
        <v>20</v>
      </c>
      <c r="F152" t="s">
        <v>42</v>
      </c>
      <c r="G152" t="s">
        <v>2</v>
      </c>
      <c r="H152">
        <v>1</v>
      </c>
      <c r="I152" s="3">
        <v>59</v>
      </c>
      <c r="J152" s="4">
        <v>0</v>
      </c>
      <c r="K152" s="5">
        <v>59</v>
      </c>
      <c r="L152" t="s">
        <v>18</v>
      </c>
      <c r="M152">
        <v>5</v>
      </c>
    </row>
    <row r="153" spans="1:13">
      <c r="A153" t="s">
        <v>203</v>
      </c>
      <c r="B153" s="1">
        <v>45741</v>
      </c>
      <c r="C153" t="s">
        <v>14</v>
      </c>
      <c r="D153" t="s">
        <v>15</v>
      </c>
      <c r="E153" t="s">
        <v>16</v>
      </c>
      <c r="F153" t="s">
        <v>17</v>
      </c>
      <c r="G153" t="s">
        <v>2</v>
      </c>
      <c r="H153">
        <v>1</v>
      </c>
      <c r="I153" s="3">
        <v>19</v>
      </c>
      <c r="J153" s="4">
        <v>0</v>
      </c>
      <c r="K153" s="5">
        <v>19</v>
      </c>
      <c r="L153" t="s">
        <v>23</v>
      </c>
      <c r="M153">
        <v>5</v>
      </c>
    </row>
    <row r="154" spans="1:13">
      <c r="A154" t="s">
        <v>204</v>
      </c>
      <c r="B154" s="1">
        <v>45741</v>
      </c>
      <c r="C154" t="s">
        <v>34</v>
      </c>
      <c r="D154" t="s">
        <v>35</v>
      </c>
      <c r="E154" t="s">
        <v>16</v>
      </c>
      <c r="F154" t="s">
        <v>32</v>
      </c>
      <c r="G154" t="s">
        <v>2</v>
      </c>
      <c r="H154">
        <v>1</v>
      </c>
      <c r="I154" s="3">
        <v>89</v>
      </c>
      <c r="J154" s="4">
        <v>0.1</v>
      </c>
      <c r="K154" s="5">
        <v>80.099999999999994</v>
      </c>
      <c r="L154" t="s">
        <v>23</v>
      </c>
      <c r="M154">
        <v>5</v>
      </c>
    </row>
    <row r="155" spans="1:13">
      <c r="A155" t="s">
        <v>205</v>
      </c>
      <c r="B155" s="1">
        <v>45742</v>
      </c>
      <c r="C155" t="s">
        <v>31</v>
      </c>
      <c r="D155" t="s">
        <v>15</v>
      </c>
      <c r="E155" t="s">
        <v>26</v>
      </c>
      <c r="F155" t="s">
        <v>27</v>
      </c>
      <c r="G155" t="s">
        <v>22</v>
      </c>
      <c r="H155">
        <v>2</v>
      </c>
      <c r="I155" s="3">
        <v>699</v>
      </c>
      <c r="J155" s="4">
        <v>0.05</v>
      </c>
      <c r="K155" s="5">
        <v>1328.1</v>
      </c>
      <c r="L155" t="s">
        <v>23</v>
      </c>
    </row>
    <row r="156" spans="1:13">
      <c r="A156" t="s">
        <v>206</v>
      </c>
      <c r="B156" s="1">
        <v>45743</v>
      </c>
      <c r="C156" t="s">
        <v>40</v>
      </c>
      <c r="D156" t="s">
        <v>41</v>
      </c>
      <c r="E156" t="s">
        <v>20</v>
      </c>
      <c r="F156" t="s">
        <v>42</v>
      </c>
      <c r="G156" t="s">
        <v>22</v>
      </c>
      <c r="H156">
        <v>1</v>
      </c>
      <c r="I156" s="3">
        <v>59</v>
      </c>
      <c r="J156" s="4">
        <v>0.2</v>
      </c>
      <c r="K156" s="5">
        <v>47.2</v>
      </c>
      <c r="L156" t="s">
        <v>23</v>
      </c>
      <c r="M156">
        <v>5</v>
      </c>
    </row>
    <row r="157" spans="1:13">
      <c r="A157" t="s">
        <v>207</v>
      </c>
      <c r="B157" s="1">
        <v>45743</v>
      </c>
      <c r="C157" t="s">
        <v>25</v>
      </c>
      <c r="D157" t="s">
        <v>15</v>
      </c>
      <c r="E157" t="s">
        <v>26</v>
      </c>
      <c r="F157" t="s">
        <v>29</v>
      </c>
      <c r="G157" t="s">
        <v>2</v>
      </c>
      <c r="H157">
        <v>1</v>
      </c>
      <c r="I157" s="3">
        <v>549</v>
      </c>
      <c r="J157" s="4">
        <v>0.15</v>
      </c>
      <c r="K157" s="5">
        <v>466.65</v>
      </c>
      <c r="L157" t="s">
        <v>23</v>
      </c>
      <c r="M157">
        <v>4</v>
      </c>
    </row>
    <row r="158" spans="1:13">
      <c r="A158" t="s">
        <v>208</v>
      </c>
      <c r="B158" s="1">
        <v>45743</v>
      </c>
      <c r="C158" t="s">
        <v>44</v>
      </c>
      <c r="D158" t="s">
        <v>45</v>
      </c>
      <c r="E158" t="s">
        <v>20</v>
      </c>
      <c r="F158" t="s">
        <v>55</v>
      </c>
      <c r="G158" t="s">
        <v>2</v>
      </c>
      <c r="H158">
        <v>3</v>
      </c>
      <c r="I158" s="3">
        <v>35</v>
      </c>
      <c r="J158" s="4">
        <v>0</v>
      </c>
      <c r="K158" s="5">
        <v>105</v>
      </c>
      <c r="L158" t="s">
        <v>51</v>
      </c>
      <c r="M158">
        <v>5</v>
      </c>
    </row>
    <row r="159" spans="1:13">
      <c r="A159" t="s">
        <v>209</v>
      </c>
      <c r="B159" s="1">
        <v>45743</v>
      </c>
      <c r="C159" t="s">
        <v>40</v>
      </c>
      <c r="D159" t="s">
        <v>41</v>
      </c>
      <c r="E159" t="s">
        <v>48</v>
      </c>
      <c r="F159" t="s">
        <v>65</v>
      </c>
      <c r="G159" t="s">
        <v>37</v>
      </c>
      <c r="H159">
        <v>1</v>
      </c>
      <c r="I159" s="3">
        <v>2590</v>
      </c>
      <c r="J159" s="4">
        <v>0</v>
      </c>
      <c r="K159" s="5">
        <v>2590</v>
      </c>
      <c r="L159" t="s">
        <v>18</v>
      </c>
      <c r="M159">
        <v>4</v>
      </c>
    </row>
    <row r="160" spans="1:13">
      <c r="A160" t="s">
        <v>210</v>
      </c>
      <c r="B160" s="1">
        <v>45744</v>
      </c>
      <c r="C160" t="s">
        <v>25</v>
      </c>
      <c r="D160" t="s">
        <v>15</v>
      </c>
      <c r="E160" t="s">
        <v>48</v>
      </c>
      <c r="F160" t="s">
        <v>65</v>
      </c>
      <c r="G160" t="s">
        <v>2</v>
      </c>
      <c r="H160">
        <v>2</v>
      </c>
      <c r="I160" s="3">
        <v>2590</v>
      </c>
      <c r="J160" s="4">
        <v>0.15</v>
      </c>
      <c r="K160" s="5">
        <v>4403</v>
      </c>
      <c r="L160" t="s">
        <v>23</v>
      </c>
      <c r="M160">
        <v>4</v>
      </c>
    </row>
    <row r="161" spans="1:13">
      <c r="A161" t="s">
        <v>211</v>
      </c>
      <c r="B161" s="1">
        <v>45745</v>
      </c>
      <c r="C161" t="s">
        <v>31</v>
      </c>
      <c r="D161" t="s">
        <v>15</v>
      </c>
      <c r="E161" t="s">
        <v>48</v>
      </c>
      <c r="F161" t="s">
        <v>79</v>
      </c>
      <c r="G161" t="s">
        <v>22</v>
      </c>
      <c r="H161">
        <v>1</v>
      </c>
      <c r="I161" s="3">
        <v>1790</v>
      </c>
      <c r="J161" s="4">
        <v>0</v>
      </c>
      <c r="K161" s="5">
        <v>1790</v>
      </c>
      <c r="L161" t="s">
        <v>23</v>
      </c>
      <c r="M161">
        <v>5</v>
      </c>
    </row>
    <row r="162" spans="1:13">
      <c r="A162" t="s">
        <v>212</v>
      </c>
      <c r="B162" s="1">
        <v>45745</v>
      </c>
      <c r="C162" t="s">
        <v>57</v>
      </c>
      <c r="D162" t="s">
        <v>15</v>
      </c>
      <c r="E162" t="s">
        <v>16</v>
      </c>
      <c r="F162" t="s">
        <v>32</v>
      </c>
      <c r="G162" t="s">
        <v>2</v>
      </c>
      <c r="H162">
        <v>1</v>
      </c>
      <c r="I162" s="3">
        <v>89</v>
      </c>
      <c r="J162" s="4">
        <v>0</v>
      </c>
      <c r="K162" s="5">
        <v>89</v>
      </c>
      <c r="L162" t="s">
        <v>23</v>
      </c>
      <c r="M162">
        <v>2</v>
      </c>
    </row>
    <row r="163" spans="1:13">
      <c r="A163" t="s">
        <v>213</v>
      </c>
      <c r="B163" s="1">
        <v>45745</v>
      </c>
      <c r="C163" t="s">
        <v>31</v>
      </c>
      <c r="D163" t="s">
        <v>15</v>
      </c>
      <c r="E163" t="s">
        <v>16</v>
      </c>
      <c r="F163" t="s">
        <v>46</v>
      </c>
      <c r="G163" t="s">
        <v>2</v>
      </c>
      <c r="H163">
        <v>1</v>
      </c>
      <c r="I163" s="3">
        <v>29</v>
      </c>
      <c r="J163" s="4">
        <v>0.1</v>
      </c>
      <c r="K163" s="5">
        <v>26.1</v>
      </c>
      <c r="L163" t="s">
        <v>51</v>
      </c>
      <c r="M163">
        <v>5</v>
      </c>
    </row>
    <row r="164" spans="1:13">
      <c r="A164" t="s">
        <v>214</v>
      </c>
      <c r="B164" s="1">
        <v>45745</v>
      </c>
      <c r="C164" t="s">
        <v>14</v>
      </c>
      <c r="D164" t="s">
        <v>15</v>
      </c>
      <c r="E164" t="s">
        <v>48</v>
      </c>
      <c r="F164" t="s">
        <v>79</v>
      </c>
      <c r="G164" t="s">
        <v>2</v>
      </c>
      <c r="H164">
        <v>2</v>
      </c>
      <c r="I164" s="3">
        <v>1790</v>
      </c>
      <c r="J164" s="4">
        <v>0</v>
      </c>
      <c r="K164" s="5">
        <v>3580</v>
      </c>
      <c r="L164" t="s">
        <v>38</v>
      </c>
      <c r="M164">
        <v>4</v>
      </c>
    </row>
    <row r="165" spans="1:13">
      <c r="A165" t="s">
        <v>215</v>
      </c>
      <c r="B165" s="1">
        <v>45746</v>
      </c>
      <c r="C165" t="s">
        <v>40</v>
      </c>
      <c r="D165" t="s">
        <v>41</v>
      </c>
      <c r="E165" t="s">
        <v>20</v>
      </c>
      <c r="F165" t="s">
        <v>42</v>
      </c>
      <c r="G165" t="s">
        <v>2</v>
      </c>
      <c r="H165">
        <v>3</v>
      </c>
      <c r="I165" s="3">
        <v>59</v>
      </c>
      <c r="J165" s="4">
        <v>0</v>
      </c>
      <c r="K165" s="5">
        <v>177</v>
      </c>
      <c r="L165" t="s">
        <v>23</v>
      </c>
      <c r="M165">
        <v>1</v>
      </c>
    </row>
    <row r="166" spans="1:13">
      <c r="A166" t="s">
        <v>216</v>
      </c>
      <c r="B166" s="1">
        <v>45746</v>
      </c>
      <c r="C166" t="s">
        <v>25</v>
      </c>
      <c r="D166" t="s">
        <v>15</v>
      </c>
      <c r="E166" t="s">
        <v>48</v>
      </c>
      <c r="F166" t="s">
        <v>79</v>
      </c>
      <c r="G166" t="s">
        <v>22</v>
      </c>
      <c r="H166">
        <v>2</v>
      </c>
      <c r="I166" s="3">
        <v>1790</v>
      </c>
      <c r="J166" s="4">
        <v>0.15</v>
      </c>
      <c r="K166" s="5">
        <v>3043</v>
      </c>
      <c r="L166" t="s">
        <v>38</v>
      </c>
      <c r="M166">
        <v>4</v>
      </c>
    </row>
    <row r="167" spans="1:13">
      <c r="A167" t="s">
        <v>217</v>
      </c>
      <c r="B167" s="1">
        <v>45747</v>
      </c>
      <c r="C167" t="s">
        <v>25</v>
      </c>
      <c r="D167" t="s">
        <v>15</v>
      </c>
      <c r="E167" t="s">
        <v>48</v>
      </c>
      <c r="F167" t="s">
        <v>65</v>
      </c>
      <c r="G167" t="s">
        <v>2</v>
      </c>
      <c r="H167">
        <v>1</v>
      </c>
      <c r="I167" s="3">
        <v>2590</v>
      </c>
      <c r="J167" s="4">
        <v>0</v>
      </c>
      <c r="K167" s="5">
        <v>2590</v>
      </c>
      <c r="L167" t="s">
        <v>23</v>
      </c>
      <c r="M167">
        <v>3</v>
      </c>
    </row>
    <row r="168" spans="1:13">
      <c r="A168" t="s">
        <v>218</v>
      </c>
      <c r="B168" s="1">
        <v>45747</v>
      </c>
      <c r="C168" t="s">
        <v>57</v>
      </c>
      <c r="D168" t="s">
        <v>15</v>
      </c>
      <c r="E168" t="s">
        <v>20</v>
      </c>
      <c r="F168" t="s">
        <v>21</v>
      </c>
      <c r="G168" t="s">
        <v>22</v>
      </c>
      <c r="H168">
        <v>2</v>
      </c>
      <c r="I168" s="3">
        <v>69</v>
      </c>
      <c r="J168" s="4">
        <v>0</v>
      </c>
      <c r="K168" s="5">
        <v>138</v>
      </c>
      <c r="L168" t="s">
        <v>18</v>
      </c>
      <c r="M168">
        <v>5</v>
      </c>
    </row>
    <row r="169" spans="1:13">
      <c r="A169" t="s">
        <v>219</v>
      </c>
      <c r="B169" s="1">
        <v>45751</v>
      </c>
      <c r="C169" t="s">
        <v>25</v>
      </c>
      <c r="D169" t="s">
        <v>15</v>
      </c>
      <c r="E169" t="s">
        <v>20</v>
      </c>
      <c r="F169" t="s">
        <v>55</v>
      </c>
      <c r="G169" t="s">
        <v>2</v>
      </c>
      <c r="H169">
        <v>4</v>
      </c>
      <c r="I169" s="3">
        <v>35</v>
      </c>
      <c r="J169" s="4">
        <v>0</v>
      </c>
      <c r="K169" s="5">
        <v>140</v>
      </c>
      <c r="L169" t="s">
        <v>23</v>
      </c>
      <c r="M169">
        <v>4</v>
      </c>
    </row>
    <row r="170" spans="1:13">
      <c r="A170" t="s">
        <v>220</v>
      </c>
      <c r="B170" s="1">
        <v>45752</v>
      </c>
      <c r="C170" t="s">
        <v>14</v>
      </c>
      <c r="D170" t="s">
        <v>15</v>
      </c>
      <c r="E170" t="s">
        <v>26</v>
      </c>
      <c r="F170" t="s">
        <v>60</v>
      </c>
      <c r="G170" t="s">
        <v>2</v>
      </c>
      <c r="H170">
        <v>1</v>
      </c>
      <c r="I170" s="3">
        <v>1890</v>
      </c>
      <c r="J170" s="4">
        <v>0</v>
      </c>
      <c r="K170" s="5">
        <v>1890</v>
      </c>
      <c r="L170" t="s">
        <v>51</v>
      </c>
      <c r="M170">
        <v>4</v>
      </c>
    </row>
    <row r="171" spans="1:13">
      <c r="A171" t="s">
        <v>221</v>
      </c>
      <c r="B171" s="1">
        <v>45753</v>
      </c>
      <c r="C171" t="s">
        <v>54</v>
      </c>
      <c r="D171" t="s">
        <v>35</v>
      </c>
      <c r="E171" t="s">
        <v>26</v>
      </c>
      <c r="F171" t="s">
        <v>27</v>
      </c>
      <c r="G171" t="s">
        <v>22</v>
      </c>
      <c r="H171">
        <v>100</v>
      </c>
      <c r="I171" s="3">
        <v>699</v>
      </c>
      <c r="J171" s="4">
        <v>0.15</v>
      </c>
      <c r="K171" s="5">
        <v>59415</v>
      </c>
      <c r="L171" t="s">
        <v>18</v>
      </c>
    </row>
    <row r="172" spans="1:13">
      <c r="A172" t="s">
        <v>222</v>
      </c>
      <c r="B172" s="1">
        <v>45754</v>
      </c>
      <c r="C172" t="s">
        <v>34</v>
      </c>
      <c r="D172" t="s">
        <v>35</v>
      </c>
      <c r="E172" t="s">
        <v>26</v>
      </c>
      <c r="F172" t="s">
        <v>60</v>
      </c>
      <c r="G172" t="s">
        <v>22</v>
      </c>
      <c r="H172">
        <v>1</v>
      </c>
      <c r="I172" s="3">
        <v>1890</v>
      </c>
      <c r="J172" s="4">
        <v>0.1</v>
      </c>
      <c r="K172" s="5">
        <v>1701</v>
      </c>
      <c r="L172" t="s">
        <v>51</v>
      </c>
      <c r="M172">
        <v>4</v>
      </c>
    </row>
    <row r="173" spans="1:13">
      <c r="A173" t="s">
        <v>223</v>
      </c>
      <c r="B173" s="1">
        <v>45756</v>
      </c>
      <c r="C173" t="s">
        <v>14</v>
      </c>
      <c r="D173" t="s">
        <v>15</v>
      </c>
      <c r="E173" t="s">
        <v>16</v>
      </c>
      <c r="F173" t="s">
        <v>17</v>
      </c>
      <c r="G173" t="s">
        <v>2</v>
      </c>
      <c r="H173">
        <v>1</v>
      </c>
      <c r="I173" s="3">
        <v>19</v>
      </c>
      <c r="J173" s="4">
        <v>0.1</v>
      </c>
      <c r="K173" s="5">
        <v>17.100000000000001</v>
      </c>
      <c r="L173" t="s">
        <v>18</v>
      </c>
      <c r="M173">
        <v>3</v>
      </c>
    </row>
    <row r="174" spans="1:13">
      <c r="A174" t="s">
        <v>224</v>
      </c>
      <c r="B174" s="1">
        <v>45757</v>
      </c>
      <c r="C174" t="s">
        <v>40</v>
      </c>
      <c r="D174" t="s">
        <v>41</v>
      </c>
      <c r="E174" t="s">
        <v>48</v>
      </c>
      <c r="F174" t="s">
        <v>79</v>
      </c>
      <c r="G174" t="s">
        <v>22</v>
      </c>
      <c r="H174">
        <v>1</v>
      </c>
      <c r="I174" s="3">
        <v>1790</v>
      </c>
      <c r="J174" s="4">
        <v>0</v>
      </c>
      <c r="K174" s="5">
        <v>1790</v>
      </c>
      <c r="L174" t="s">
        <v>18</v>
      </c>
      <c r="M174">
        <v>5</v>
      </c>
    </row>
    <row r="175" spans="1:13">
      <c r="A175" t="s">
        <v>225</v>
      </c>
      <c r="B175" s="1">
        <v>45757</v>
      </c>
      <c r="C175" t="s">
        <v>57</v>
      </c>
      <c r="D175" t="s">
        <v>15</v>
      </c>
      <c r="E175" t="s">
        <v>62</v>
      </c>
      <c r="F175" t="s">
        <v>63</v>
      </c>
      <c r="G175" t="s">
        <v>22</v>
      </c>
      <c r="H175">
        <v>1</v>
      </c>
      <c r="I175" s="3">
        <v>2490</v>
      </c>
      <c r="J175" s="4">
        <v>0.15</v>
      </c>
      <c r="K175" s="5">
        <v>2116.5</v>
      </c>
      <c r="L175" t="s">
        <v>23</v>
      </c>
      <c r="M175">
        <v>4</v>
      </c>
    </row>
    <row r="176" spans="1:13">
      <c r="A176" t="s">
        <v>226</v>
      </c>
      <c r="B176" s="1">
        <v>45759</v>
      </c>
      <c r="C176" t="s">
        <v>57</v>
      </c>
      <c r="D176" t="s">
        <v>15</v>
      </c>
      <c r="E176" t="s">
        <v>20</v>
      </c>
      <c r="F176" t="s">
        <v>42</v>
      </c>
      <c r="G176" t="s">
        <v>37</v>
      </c>
      <c r="H176">
        <v>1</v>
      </c>
      <c r="I176" s="3">
        <v>59</v>
      </c>
      <c r="J176" s="4">
        <v>0.1</v>
      </c>
      <c r="K176" s="5">
        <v>53.1</v>
      </c>
      <c r="L176" t="s">
        <v>51</v>
      </c>
      <c r="M176">
        <v>4</v>
      </c>
    </row>
    <row r="177" spans="1:13">
      <c r="A177" t="s">
        <v>227</v>
      </c>
      <c r="B177" s="1">
        <v>45760</v>
      </c>
      <c r="C177" t="s">
        <v>14</v>
      </c>
      <c r="D177" t="s">
        <v>15</v>
      </c>
      <c r="E177" t="s">
        <v>16</v>
      </c>
      <c r="F177" t="s">
        <v>46</v>
      </c>
      <c r="G177" t="s">
        <v>2</v>
      </c>
      <c r="H177">
        <v>1</v>
      </c>
      <c r="I177" s="3">
        <v>29</v>
      </c>
      <c r="J177" s="4">
        <v>0</v>
      </c>
      <c r="K177" s="5">
        <v>29</v>
      </c>
      <c r="L177" t="s">
        <v>23</v>
      </c>
      <c r="M177">
        <v>2</v>
      </c>
    </row>
    <row r="178" spans="1:13">
      <c r="A178" t="s">
        <v>228</v>
      </c>
      <c r="B178" s="1">
        <v>45760</v>
      </c>
      <c r="C178" t="s">
        <v>31</v>
      </c>
      <c r="D178" t="s">
        <v>15</v>
      </c>
      <c r="E178" t="s">
        <v>26</v>
      </c>
      <c r="F178" t="s">
        <v>60</v>
      </c>
      <c r="G178" t="s">
        <v>2</v>
      </c>
      <c r="H178">
        <v>2</v>
      </c>
      <c r="I178" s="3">
        <v>1890</v>
      </c>
      <c r="J178" s="4">
        <v>0</v>
      </c>
      <c r="K178" s="5">
        <v>3780</v>
      </c>
      <c r="L178" t="s">
        <v>23</v>
      </c>
      <c r="M178">
        <v>4</v>
      </c>
    </row>
    <row r="179" spans="1:13">
      <c r="A179" t="s">
        <v>229</v>
      </c>
      <c r="B179" s="1">
        <v>45760</v>
      </c>
      <c r="C179" t="s">
        <v>14</v>
      </c>
      <c r="D179" t="s">
        <v>15</v>
      </c>
      <c r="E179" t="s">
        <v>20</v>
      </c>
      <c r="F179" t="s">
        <v>21</v>
      </c>
      <c r="G179" t="s">
        <v>37</v>
      </c>
      <c r="H179">
        <v>1</v>
      </c>
      <c r="I179" s="3">
        <v>69</v>
      </c>
      <c r="J179" s="4">
        <v>0.05</v>
      </c>
      <c r="K179" s="5">
        <v>65.55</v>
      </c>
      <c r="L179" t="s">
        <v>38</v>
      </c>
      <c r="M179">
        <v>5</v>
      </c>
    </row>
    <row r="180" spans="1:13">
      <c r="A180" t="s">
        <v>230</v>
      </c>
      <c r="B180" s="1">
        <v>45761</v>
      </c>
      <c r="C180" t="s">
        <v>25</v>
      </c>
      <c r="D180" t="s">
        <v>15</v>
      </c>
      <c r="E180" t="s">
        <v>20</v>
      </c>
      <c r="F180" t="s">
        <v>55</v>
      </c>
      <c r="G180" t="s">
        <v>37</v>
      </c>
      <c r="H180">
        <v>1</v>
      </c>
      <c r="I180" s="3">
        <v>35</v>
      </c>
      <c r="J180" s="4">
        <v>0</v>
      </c>
      <c r="K180" s="5">
        <v>35</v>
      </c>
      <c r="L180" t="s">
        <v>23</v>
      </c>
      <c r="M180">
        <v>5</v>
      </c>
    </row>
    <row r="181" spans="1:13">
      <c r="A181" t="s">
        <v>231</v>
      </c>
      <c r="B181" s="1">
        <v>45761</v>
      </c>
      <c r="C181" t="s">
        <v>25</v>
      </c>
      <c r="D181" t="s">
        <v>15</v>
      </c>
      <c r="E181" t="s">
        <v>62</v>
      </c>
      <c r="F181" t="s">
        <v>100</v>
      </c>
      <c r="G181" t="s">
        <v>2</v>
      </c>
      <c r="H181">
        <v>2</v>
      </c>
      <c r="I181" s="3">
        <v>1190</v>
      </c>
      <c r="J181" s="4">
        <v>0</v>
      </c>
      <c r="K181" s="5">
        <v>2380</v>
      </c>
      <c r="L181" t="s">
        <v>23</v>
      </c>
      <c r="M181">
        <v>4</v>
      </c>
    </row>
    <row r="182" spans="1:13">
      <c r="A182" t="s">
        <v>232</v>
      </c>
      <c r="B182" s="1">
        <v>45761</v>
      </c>
      <c r="C182" t="s">
        <v>31</v>
      </c>
      <c r="D182" t="s">
        <v>15</v>
      </c>
      <c r="E182" t="s">
        <v>16</v>
      </c>
      <c r="F182" t="s">
        <v>17</v>
      </c>
      <c r="G182" t="s">
        <v>2</v>
      </c>
      <c r="H182">
        <v>1</v>
      </c>
      <c r="I182" s="3">
        <v>19</v>
      </c>
      <c r="J182" s="4">
        <v>0</v>
      </c>
      <c r="K182" s="5">
        <v>19</v>
      </c>
      <c r="L182" t="s">
        <v>23</v>
      </c>
      <c r="M182">
        <v>3</v>
      </c>
    </row>
    <row r="183" spans="1:13">
      <c r="A183" t="s">
        <v>233</v>
      </c>
      <c r="B183" s="1">
        <v>45764</v>
      </c>
      <c r="C183" t="s">
        <v>44</v>
      </c>
      <c r="D183" t="s">
        <v>45</v>
      </c>
      <c r="E183" t="s">
        <v>16</v>
      </c>
      <c r="F183" t="s">
        <v>17</v>
      </c>
      <c r="G183" t="s">
        <v>2</v>
      </c>
      <c r="H183">
        <v>1</v>
      </c>
      <c r="I183" s="3">
        <v>19</v>
      </c>
      <c r="J183" s="4">
        <v>0</v>
      </c>
      <c r="K183" s="5">
        <v>19</v>
      </c>
      <c r="L183" t="s">
        <v>23</v>
      </c>
      <c r="M183">
        <v>4</v>
      </c>
    </row>
    <row r="184" spans="1:13">
      <c r="A184" t="s">
        <v>234</v>
      </c>
      <c r="B184" s="1">
        <v>45764</v>
      </c>
      <c r="C184" t="s">
        <v>40</v>
      </c>
      <c r="D184" t="s">
        <v>41</v>
      </c>
      <c r="E184" t="s">
        <v>26</v>
      </c>
      <c r="F184" t="s">
        <v>27</v>
      </c>
      <c r="G184" t="s">
        <v>37</v>
      </c>
      <c r="H184">
        <v>1</v>
      </c>
      <c r="I184" s="3">
        <v>699</v>
      </c>
      <c r="J184" s="4">
        <v>0.15</v>
      </c>
      <c r="K184" s="5">
        <v>594.15</v>
      </c>
      <c r="L184" t="s">
        <v>51</v>
      </c>
      <c r="M184">
        <v>5</v>
      </c>
    </row>
    <row r="185" spans="1:13">
      <c r="A185" t="s">
        <v>235</v>
      </c>
      <c r="B185" s="1">
        <v>45765</v>
      </c>
      <c r="C185" t="s">
        <v>54</v>
      </c>
      <c r="D185" t="s">
        <v>35</v>
      </c>
      <c r="E185" t="s">
        <v>48</v>
      </c>
      <c r="F185" t="s">
        <v>49</v>
      </c>
      <c r="G185" t="s">
        <v>2</v>
      </c>
      <c r="H185">
        <v>1</v>
      </c>
      <c r="I185" s="3">
        <v>3990</v>
      </c>
      <c r="J185" s="4">
        <v>0.2</v>
      </c>
      <c r="K185" s="5">
        <v>3192</v>
      </c>
      <c r="L185" t="s">
        <v>51</v>
      </c>
      <c r="M185">
        <v>4</v>
      </c>
    </row>
    <row r="186" spans="1:13">
      <c r="A186" t="s">
        <v>236</v>
      </c>
      <c r="B186" s="1">
        <v>45766</v>
      </c>
      <c r="C186" t="s">
        <v>31</v>
      </c>
      <c r="D186" t="s">
        <v>15</v>
      </c>
      <c r="E186" t="s">
        <v>48</v>
      </c>
      <c r="F186" t="s">
        <v>65</v>
      </c>
      <c r="G186" t="s">
        <v>37</v>
      </c>
      <c r="H186">
        <v>1</v>
      </c>
      <c r="I186" s="3">
        <v>2590</v>
      </c>
      <c r="J186" s="4">
        <v>0.05</v>
      </c>
      <c r="K186" s="5">
        <v>2460.5</v>
      </c>
      <c r="L186" t="s">
        <v>23</v>
      </c>
      <c r="M186">
        <v>5</v>
      </c>
    </row>
    <row r="187" spans="1:13">
      <c r="A187" t="s">
        <v>237</v>
      </c>
      <c r="B187" s="1">
        <v>45766</v>
      </c>
      <c r="C187" t="s">
        <v>31</v>
      </c>
      <c r="D187" t="s">
        <v>15</v>
      </c>
      <c r="E187" t="s">
        <v>62</v>
      </c>
      <c r="F187" t="s">
        <v>77</v>
      </c>
      <c r="G187" t="s">
        <v>22</v>
      </c>
      <c r="H187">
        <v>1</v>
      </c>
      <c r="I187" s="3">
        <v>899</v>
      </c>
      <c r="J187" s="4">
        <v>0</v>
      </c>
      <c r="K187" s="5">
        <v>899</v>
      </c>
      <c r="L187" t="s">
        <v>23</v>
      </c>
      <c r="M187">
        <v>5</v>
      </c>
    </row>
    <row r="188" spans="1:13">
      <c r="A188" t="s">
        <v>238</v>
      </c>
      <c r="B188" s="1">
        <v>45766</v>
      </c>
      <c r="C188" t="s">
        <v>40</v>
      </c>
      <c r="D188" t="s">
        <v>41</v>
      </c>
      <c r="E188" t="s">
        <v>48</v>
      </c>
      <c r="F188" t="s">
        <v>49</v>
      </c>
      <c r="G188" t="s">
        <v>2</v>
      </c>
      <c r="H188">
        <v>1</v>
      </c>
      <c r="I188" s="3">
        <v>3990</v>
      </c>
      <c r="J188" s="4">
        <v>0</v>
      </c>
      <c r="K188" s="5">
        <v>3990</v>
      </c>
      <c r="L188" t="s">
        <v>51</v>
      </c>
      <c r="M188">
        <v>5</v>
      </c>
    </row>
    <row r="189" spans="1:13">
      <c r="A189" t="s">
        <v>239</v>
      </c>
      <c r="B189" s="1">
        <v>45766</v>
      </c>
      <c r="C189" t="s">
        <v>40</v>
      </c>
      <c r="D189" t="s">
        <v>41</v>
      </c>
      <c r="E189" t="s">
        <v>48</v>
      </c>
      <c r="F189" t="s">
        <v>49</v>
      </c>
      <c r="G189" t="s">
        <v>2</v>
      </c>
      <c r="H189">
        <v>1</v>
      </c>
      <c r="I189" s="3">
        <v>3990</v>
      </c>
      <c r="J189" s="4">
        <v>0</v>
      </c>
      <c r="K189" s="5">
        <v>3990</v>
      </c>
      <c r="L189" t="s">
        <v>23</v>
      </c>
    </row>
    <row r="190" spans="1:13">
      <c r="A190" t="s">
        <v>240</v>
      </c>
      <c r="B190" s="1">
        <v>45766</v>
      </c>
      <c r="C190" t="s">
        <v>14</v>
      </c>
      <c r="D190" t="s">
        <v>15</v>
      </c>
      <c r="E190" t="s">
        <v>16</v>
      </c>
      <c r="F190" t="s">
        <v>17</v>
      </c>
      <c r="G190" t="s">
        <v>2</v>
      </c>
      <c r="H190">
        <v>1</v>
      </c>
      <c r="I190" s="3">
        <v>19</v>
      </c>
      <c r="J190" s="4">
        <v>0</v>
      </c>
      <c r="K190" s="5">
        <v>19</v>
      </c>
      <c r="L190" t="s">
        <v>51</v>
      </c>
    </row>
    <row r="191" spans="1:13">
      <c r="A191" t="s">
        <v>241</v>
      </c>
      <c r="B191" s="1">
        <v>45766</v>
      </c>
      <c r="C191" t="s">
        <v>54</v>
      </c>
      <c r="D191" t="s">
        <v>35</v>
      </c>
      <c r="E191" t="s">
        <v>48</v>
      </c>
      <c r="F191" t="s">
        <v>65</v>
      </c>
      <c r="G191" t="s">
        <v>22</v>
      </c>
      <c r="H191">
        <v>2</v>
      </c>
      <c r="I191" s="3">
        <v>2590</v>
      </c>
      <c r="J191" s="4">
        <v>0.2</v>
      </c>
      <c r="K191" s="5">
        <v>4144</v>
      </c>
      <c r="L191" t="s">
        <v>38</v>
      </c>
    </row>
    <row r="192" spans="1:13">
      <c r="A192" t="s">
        <v>242</v>
      </c>
      <c r="B192" s="1">
        <v>45768</v>
      </c>
      <c r="C192" t="s">
        <v>25</v>
      </c>
      <c r="D192" t="s">
        <v>15</v>
      </c>
      <c r="E192" t="s">
        <v>26</v>
      </c>
      <c r="F192" t="s">
        <v>27</v>
      </c>
      <c r="G192" t="s">
        <v>2</v>
      </c>
      <c r="H192">
        <v>1</v>
      </c>
      <c r="I192" s="3">
        <v>699</v>
      </c>
      <c r="J192" s="4">
        <v>0.05</v>
      </c>
      <c r="K192" s="5">
        <v>664.05</v>
      </c>
      <c r="L192" t="s">
        <v>23</v>
      </c>
      <c r="M192">
        <v>4</v>
      </c>
    </row>
    <row r="193" spans="1:13">
      <c r="A193" t="s">
        <v>243</v>
      </c>
      <c r="B193" s="1">
        <v>45769</v>
      </c>
      <c r="C193" t="s">
        <v>44</v>
      </c>
      <c r="D193" t="s">
        <v>45</v>
      </c>
      <c r="E193" t="s">
        <v>62</v>
      </c>
      <c r="F193" t="s">
        <v>77</v>
      </c>
      <c r="G193" t="s">
        <v>2</v>
      </c>
      <c r="H193">
        <v>1</v>
      </c>
      <c r="I193" s="3">
        <v>899</v>
      </c>
      <c r="J193" s="4">
        <v>0</v>
      </c>
      <c r="K193" s="5">
        <v>899</v>
      </c>
      <c r="L193" t="s">
        <v>23</v>
      </c>
      <c r="M193">
        <v>4</v>
      </c>
    </row>
    <row r="194" spans="1:13">
      <c r="A194" t="s">
        <v>244</v>
      </c>
      <c r="B194" s="1">
        <v>45769</v>
      </c>
      <c r="C194" t="s">
        <v>40</v>
      </c>
      <c r="D194" t="s">
        <v>41</v>
      </c>
      <c r="E194" t="s">
        <v>48</v>
      </c>
      <c r="F194" t="s">
        <v>79</v>
      </c>
      <c r="G194" t="s">
        <v>37</v>
      </c>
      <c r="H194">
        <v>1</v>
      </c>
      <c r="I194" s="3">
        <v>1790</v>
      </c>
      <c r="J194" s="4">
        <v>0</v>
      </c>
      <c r="K194" s="5">
        <v>1790</v>
      </c>
      <c r="L194" t="s">
        <v>23</v>
      </c>
      <c r="M194">
        <v>5</v>
      </c>
    </row>
    <row r="195" spans="1:13">
      <c r="A195" t="s">
        <v>245</v>
      </c>
      <c r="B195" s="1">
        <v>45770</v>
      </c>
      <c r="C195" t="s">
        <v>54</v>
      </c>
      <c r="D195" t="s">
        <v>35</v>
      </c>
      <c r="E195" t="s">
        <v>48</v>
      </c>
      <c r="F195" t="s">
        <v>65</v>
      </c>
      <c r="G195" t="s">
        <v>2</v>
      </c>
      <c r="H195">
        <v>1</v>
      </c>
      <c r="I195" s="3">
        <v>2590</v>
      </c>
      <c r="J195" s="4">
        <v>0</v>
      </c>
      <c r="K195" s="5">
        <v>2590</v>
      </c>
      <c r="L195" t="s">
        <v>23</v>
      </c>
    </row>
    <row r="196" spans="1:13">
      <c r="A196" t="s">
        <v>246</v>
      </c>
      <c r="B196" s="1">
        <v>45770</v>
      </c>
      <c r="C196" t="s">
        <v>57</v>
      </c>
      <c r="D196" t="s">
        <v>15</v>
      </c>
      <c r="E196" t="s">
        <v>16</v>
      </c>
      <c r="F196" t="s">
        <v>17</v>
      </c>
      <c r="G196" t="s">
        <v>2</v>
      </c>
      <c r="H196">
        <v>1</v>
      </c>
      <c r="I196" s="3">
        <v>19</v>
      </c>
      <c r="J196" s="4">
        <v>0</v>
      </c>
      <c r="K196" s="5">
        <v>19</v>
      </c>
      <c r="L196" t="s">
        <v>51</v>
      </c>
      <c r="M196">
        <v>4</v>
      </c>
    </row>
    <row r="197" spans="1:13">
      <c r="A197" t="s">
        <v>247</v>
      </c>
      <c r="B197" s="1">
        <v>45771</v>
      </c>
      <c r="C197" t="s">
        <v>34</v>
      </c>
      <c r="D197" t="s">
        <v>35</v>
      </c>
      <c r="E197" t="s">
        <v>16</v>
      </c>
      <c r="F197" t="s">
        <v>17</v>
      </c>
      <c r="G197" t="s">
        <v>2</v>
      </c>
      <c r="H197">
        <v>1</v>
      </c>
      <c r="I197" s="3">
        <v>19</v>
      </c>
      <c r="J197" s="4">
        <v>0</v>
      </c>
      <c r="K197" s="5">
        <v>19</v>
      </c>
      <c r="L197" t="s">
        <v>51</v>
      </c>
      <c r="M197">
        <v>5</v>
      </c>
    </row>
    <row r="198" spans="1:13">
      <c r="A198" t="s">
        <v>248</v>
      </c>
      <c r="B198" s="1">
        <v>45774</v>
      </c>
      <c r="C198" t="s">
        <v>40</v>
      </c>
      <c r="D198" t="s">
        <v>41</v>
      </c>
      <c r="E198" t="s">
        <v>16</v>
      </c>
      <c r="F198" t="s">
        <v>32</v>
      </c>
      <c r="G198" t="s">
        <v>2</v>
      </c>
      <c r="H198">
        <v>1</v>
      </c>
      <c r="I198" s="3">
        <v>89</v>
      </c>
      <c r="J198" s="4">
        <v>0</v>
      </c>
      <c r="K198" s="5">
        <v>89</v>
      </c>
      <c r="L198" t="s">
        <v>23</v>
      </c>
      <c r="M198">
        <v>3</v>
      </c>
    </row>
    <row r="199" spans="1:13">
      <c r="A199" t="s">
        <v>249</v>
      </c>
      <c r="B199" s="1">
        <v>45774</v>
      </c>
      <c r="C199" t="s">
        <v>31</v>
      </c>
      <c r="D199" t="s">
        <v>15</v>
      </c>
      <c r="E199" t="s">
        <v>20</v>
      </c>
      <c r="F199" t="s">
        <v>75</v>
      </c>
      <c r="G199" t="s">
        <v>37</v>
      </c>
      <c r="H199">
        <v>2</v>
      </c>
      <c r="I199" s="3">
        <v>45</v>
      </c>
      <c r="J199" s="4">
        <v>0.05</v>
      </c>
      <c r="K199" s="5">
        <v>85.5</v>
      </c>
      <c r="L199" t="s">
        <v>23</v>
      </c>
      <c r="M199">
        <v>5</v>
      </c>
    </row>
    <row r="200" spans="1:13">
      <c r="A200" t="s">
        <v>250</v>
      </c>
      <c r="B200" s="1">
        <v>45774</v>
      </c>
      <c r="C200" t="s">
        <v>40</v>
      </c>
      <c r="D200" t="s">
        <v>41</v>
      </c>
      <c r="E200" t="s">
        <v>20</v>
      </c>
      <c r="F200" t="s">
        <v>21</v>
      </c>
      <c r="G200" t="s">
        <v>2</v>
      </c>
      <c r="H200">
        <v>1</v>
      </c>
      <c r="I200" s="3">
        <v>69</v>
      </c>
      <c r="J200" s="4">
        <v>0</v>
      </c>
      <c r="K200" s="5">
        <v>69</v>
      </c>
      <c r="L200" t="s">
        <v>23</v>
      </c>
      <c r="M200">
        <v>4</v>
      </c>
    </row>
    <row r="201" spans="1:13">
      <c r="A201" t="s">
        <v>251</v>
      </c>
      <c r="B201" s="1">
        <v>45775</v>
      </c>
      <c r="C201" t="s">
        <v>40</v>
      </c>
      <c r="D201" t="s">
        <v>41</v>
      </c>
      <c r="E201" t="s">
        <v>16</v>
      </c>
      <c r="F201" t="s">
        <v>46</v>
      </c>
      <c r="G201" t="s">
        <v>2</v>
      </c>
      <c r="H201">
        <v>1</v>
      </c>
      <c r="I201" s="3">
        <v>29</v>
      </c>
      <c r="J201" s="4">
        <v>0.2</v>
      </c>
      <c r="K201" s="5">
        <v>23.2</v>
      </c>
      <c r="L201" t="s">
        <v>51</v>
      </c>
      <c r="M201">
        <v>5</v>
      </c>
    </row>
    <row r="202" spans="1:13">
      <c r="A202" t="s">
        <v>252</v>
      </c>
      <c r="B202" s="1">
        <v>45776</v>
      </c>
      <c r="C202" t="s">
        <v>40</v>
      </c>
      <c r="D202" t="s">
        <v>41</v>
      </c>
      <c r="E202" t="s">
        <v>20</v>
      </c>
      <c r="F202" t="s">
        <v>55</v>
      </c>
      <c r="G202" t="s">
        <v>2</v>
      </c>
      <c r="H202">
        <v>1</v>
      </c>
      <c r="I202" s="3">
        <v>35</v>
      </c>
      <c r="J202" s="4">
        <v>0</v>
      </c>
      <c r="K202" s="5">
        <v>35</v>
      </c>
      <c r="L202" t="s">
        <v>23</v>
      </c>
      <c r="M202">
        <v>4</v>
      </c>
    </row>
    <row r="203" spans="1:13">
      <c r="A203" t="s">
        <v>253</v>
      </c>
      <c r="B203" s="1">
        <v>45776</v>
      </c>
      <c r="C203" t="s">
        <v>44</v>
      </c>
      <c r="D203" t="s">
        <v>45</v>
      </c>
      <c r="E203" t="s">
        <v>16</v>
      </c>
      <c r="F203" t="s">
        <v>17</v>
      </c>
      <c r="G203" t="s">
        <v>2</v>
      </c>
      <c r="H203">
        <v>1</v>
      </c>
      <c r="I203" s="3">
        <v>19</v>
      </c>
      <c r="J203" s="4">
        <v>0.15</v>
      </c>
      <c r="K203" s="5">
        <v>16.149999999999999</v>
      </c>
      <c r="L203" t="s">
        <v>23</v>
      </c>
    </row>
    <row r="204" spans="1:13">
      <c r="A204" t="s">
        <v>254</v>
      </c>
      <c r="B204" s="1">
        <v>45777</v>
      </c>
      <c r="C204" t="s">
        <v>14</v>
      </c>
      <c r="D204" t="s">
        <v>15</v>
      </c>
      <c r="E204" t="s">
        <v>20</v>
      </c>
      <c r="F204" t="s">
        <v>55</v>
      </c>
      <c r="G204" t="s">
        <v>2</v>
      </c>
      <c r="H204">
        <v>1</v>
      </c>
      <c r="I204" s="3">
        <v>35</v>
      </c>
      <c r="J204" s="4">
        <v>0</v>
      </c>
      <c r="K204" s="5">
        <v>35</v>
      </c>
      <c r="L204" t="s">
        <v>23</v>
      </c>
      <c r="M204">
        <v>5</v>
      </c>
    </row>
    <row r="205" spans="1:13">
      <c r="A205" t="s">
        <v>255</v>
      </c>
      <c r="B205" s="1">
        <v>45777</v>
      </c>
      <c r="C205" t="s">
        <v>31</v>
      </c>
      <c r="D205" t="s">
        <v>15</v>
      </c>
      <c r="E205" t="s">
        <v>20</v>
      </c>
      <c r="F205" t="s">
        <v>75</v>
      </c>
      <c r="G205" t="s">
        <v>2</v>
      </c>
      <c r="H205">
        <v>1</v>
      </c>
      <c r="I205" s="3">
        <v>45</v>
      </c>
      <c r="J205" s="4">
        <v>0.15</v>
      </c>
      <c r="K205" s="5">
        <v>38.25</v>
      </c>
      <c r="L205" t="s">
        <v>23</v>
      </c>
      <c r="M205">
        <v>4</v>
      </c>
    </row>
    <row r="206" spans="1:13">
      <c r="A206" t="s">
        <v>256</v>
      </c>
      <c r="B206" s="1">
        <v>45778</v>
      </c>
      <c r="C206" t="s">
        <v>25</v>
      </c>
      <c r="D206" t="s">
        <v>15</v>
      </c>
      <c r="E206" t="s">
        <v>20</v>
      </c>
      <c r="F206" t="s">
        <v>55</v>
      </c>
      <c r="G206" t="s">
        <v>2</v>
      </c>
      <c r="H206">
        <v>4</v>
      </c>
      <c r="I206" s="3">
        <v>35</v>
      </c>
      <c r="J206" s="4">
        <v>0</v>
      </c>
      <c r="K206" s="5">
        <v>140</v>
      </c>
      <c r="L206" t="s">
        <v>38</v>
      </c>
      <c r="M206">
        <v>1</v>
      </c>
    </row>
    <row r="207" spans="1:13">
      <c r="A207" t="s">
        <v>257</v>
      </c>
      <c r="B207" s="1">
        <v>45778</v>
      </c>
      <c r="C207" t="s">
        <v>34</v>
      </c>
      <c r="D207" t="s">
        <v>35</v>
      </c>
      <c r="E207" t="s">
        <v>26</v>
      </c>
      <c r="F207" t="s">
        <v>29</v>
      </c>
      <c r="G207" t="s">
        <v>2</v>
      </c>
      <c r="H207">
        <v>2</v>
      </c>
      <c r="I207" s="3">
        <v>549</v>
      </c>
      <c r="J207" s="4">
        <v>0</v>
      </c>
      <c r="K207" s="5">
        <v>1098</v>
      </c>
      <c r="L207" t="s">
        <v>38</v>
      </c>
      <c r="M207">
        <v>4</v>
      </c>
    </row>
    <row r="208" spans="1:13">
      <c r="A208" t="s">
        <v>258</v>
      </c>
      <c r="B208" s="1">
        <v>45778</v>
      </c>
      <c r="C208" t="s">
        <v>40</v>
      </c>
      <c r="D208" t="s">
        <v>41</v>
      </c>
      <c r="E208" t="s">
        <v>48</v>
      </c>
      <c r="F208" t="s">
        <v>65</v>
      </c>
      <c r="G208" t="s">
        <v>37</v>
      </c>
      <c r="H208">
        <v>1</v>
      </c>
      <c r="I208" s="3">
        <v>2590</v>
      </c>
      <c r="J208" s="4">
        <v>0</v>
      </c>
      <c r="K208" s="5">
        <v>2590</v>
      </c>
      <c r="L208" t="s">
        <v>23</v>
      </c>
    </row>
    <row r="209" spans="1:13">
      <c r="A209" t="s">
        <v>259</v>
      </c>
      <c r="B209" s="1">
        <v>45778</v>
      </c>
      <c r="C209" t="s">
        <v>44</v>
      </c>
      <c r="D209" t="s">
        <v>45</v>
      </c>
      <c r="E209" t="s">
        <v>48</v>
      </c>
      <c r="F209" t="s">
        <v>49</v>
      </c>
      <c r="G209" t="s">
        <v>22</v>
      </c>
      <c r="H209">
        <v>1</v>
      </c>
      <c r="I209" s="3">
        <v>3990</v>
      </c>
      <c r="J209" s="4">
        <v>0</v>
      </c>
      <c r="K209" s="5">
        <v>3990</v>
      </c>
      <c r="L209" t="s">
        <v>18</v>
      </c>
      <c r="M209">
        <v>4</v>
      </c>
    </row>
    <row r="210" spans="1:13">
      <c r="A210" t="s">
        <v>260</v>
      </c>
      <c r="B210" s="1">
        <v>45780</v>
      </c>
      <c r="C210" t="s">
        <v>34</v>
      </c>
      <c r="D210" t="s">
        <v>35</v>
      </c>
      <c r="E210" t="s">
        <v>20</v>
      </c>
      <c r="F210" t="s">
        <v>75</v>
      </c>
      <c r="G210" t="s">
        <v>2</v>
      </c>
      <c r="H210">
        <v>1</v>
      </c>
      <c r="I210" s="3">
        <v>45</v>
      </c>
      <c r="J210" s="4">
        <v>0</v>
      </c>
      <c r="K210" s="5">
        <v>45</v>
      </c>
      <c r="L210" t="s">
        <v>23</v>
      </c>
      <c r="M210">
        <v>5</v>
      </c>
    </row>
    <row r="211" spans="1:13">
      <c r="A211" t="s">
        <v>261</v>
      </c>
      <c r="B211" s="1">
        <v>45780</v>
      </c>
      <c r="C211" t="s">
        <v>14</v>
      </c>
      <c r="D211" t="s">
        <v>15</v>
      </c>
      <c r="E211" t="s">
        <v>20</v>
      </c>
      <c r="F211" t="s">
        <v>75</v>
      </c>
      <c r="G211" t="s">
        <v>2</v>
      </c>
      <c r="H211">
        <v>1</v>
      </c>
      <c r="I211" s="3">
        <v>45</v>
      </c>
      <c r="J211" s="4">
        <v>0.05</v>
      </c>
      <c r="K211" s="5">
        <v>42.75</v>
      </c>
      <c r="L211" t="s">
        <v>23</v>
      </c>
    </row>
    <row r="212" spans="1:13">
      <c r="A212" t="s">
        <v>262</v>
      </c>
      <c r="B212" s="1">
        <v>45780</v>
      </c>
      <c r="C212" t="s">
        <v>54</v>
      </c>
      <c r="D212" t="s">
        <v>35</v>
      </c>
      <c r="E212" t="s">
        <v>26</v>
      </c>
      <c r="F212" t="s">
        <v>60</v>
      </c>
      <c r="G212" t="s">
        <v>2</v>
      </c>
      <c r="H212">
        <v>1</v>
      </c>
      <c r="I212" s="3">
        <v>1890</v>
      </c>
      <c r="J212" s="4">
        <v>0.15</v>
      </c>
      <c r="K212" s="5">
        <v>1606.5</v>
      </c>
      <c r="L212" t="s">
        <v>23</v>
      </c>
      <c r="M212">
        <v>4</v>
      </c>
    </row>
    <row r="213" spans="1:13">
      <c r="A213" t="s">
        <v>263</v>
      </c>
      <c r="B213" s="1">
        <v>45781</v>
      </c>
      <c r="C213" t="s">
        <v>40</v>
      </c>
      <c r="D213" t="s">
        <v>41</v>
      </c>
      <c r="E213" t="s">
        <v>62</v>
      </c>
      <c r="F213" t="s">
        <v>100</v>
      </c>
      <c r="G213" t="s">
        <v>2</v>
      </c>
      <c r="H213">
        <v>2</v>
      </c>
      <c r="I213" s="3">
        <v>1190</v>
      </c>
      <c r="J213" s="4">
        <v>0.1</v>
      </c>
      <c r="K213" s="5">
        <v>2142</v>
      </c>
      <c r="L213" t="s">
        <v>38</v>
      </c>
      <c r="M213">
        <v>3</v>
      </c>
    </row>
    <row r="214" spans="1:13">
      <c r="A214" t="s">
        <v>264</v>
      </c>
      <c r="B214" s="1">
        <v>45781</v>
      </c>
      <c r="C214" t="s">
        <v>14</v>
      </c>
      <c r="D214" t="s">
        <v>15</v>
      </c>
      <c r="E214" t="s">
        <v>16</v>
      </c>
      <c r="F214" t="s">
        <v>46</v>
      </c>
      <c r="G214" t="s">
        <v>2</v>
      </c>
      <c r="H214">
        <v>1</v>
      </c>
      <c r="I214" s="3">
        <v>29</v>
      </c>
      <c r="J214" s="4">
        <v>0</v>
      </c>
      <c r="K214" s="5">
        <v>29</v>
      </c>
      <c r="L214" t="s">
        <v>23</v>
      </c>
      <c r="M214">
        <v>4</v>
      </c>
    </row>
    <row r="215" spans="1:13">
      <c r="A215" t="s">
        <v>265</v>
      </c>
      <c r="B215" s="1">
        <v>45782</v>
      </c>
      <c r="C215" t="s">
        <v>57</v>
      </c>
      <c r="D215" t="s">
        <v>15</v>
      </c>
      <c r="E215" t="s">
        <v>20</v>
      </c>
      <c r="F215" t="s">
        <v>42</v>
      </c>
      <c r="G215" t="s">
        <v>22</v>
      </c>
      <c r="H215">
        <v>1</v>
      </c>
      <c r="I215" s="3">
        <v>59</v>
      </c>
      <c r="J215" s="4">
        <v>0</v>
      </c>
      <c r="K215" s="5">
        <v>59</v>
      </c>
      <c r="L215" t="s">
        <v>23</v>
      </c>
      <c r="M215">
        <v>3</v>
      </c>
    </row>
    <row r="216" spans="1:13">
      <c r="A216" t="s">
        <v>266</v>
      </c>
      <c r="B216" s="1">
        <v>45783</v>
      </c>
      <c r="C216" t="s">
        <v>44</v>
      </c>
      <c r="D216" t="s">
        <v>45</v>
      </c>
      <c r="E216" t="s">
        <v>20</v>
      </c>
      <c r="F216" t="s">
        <v>21</v>
      </c>
      <c r="G216" t="s">
        <v>2</v>
      </c>
      <c r="H216">
        <v>3</v>
      </c>
      <c r="I216" s="3">
        <v>69</v>
      </c>
      <c r="J216" s="4">
        <v>0</v>
      </c>
      <c r="K216" s="5">
        <v>207</v>
      </c>
      <c r="L216" t="s">
        <v>23</v>
      </c>
      <c r="M216">
        <v>4</v>
      </c>
    </row>
    <row r="217" spans="1:13">
      <c r="A217" t="s">
        <v>267</v>
      </c>
      <c r="B217" s="1">
        <v>45784</v>
      </c>
      <c r="C217" t="s">
        <v>25</v>
      </c>
      <c r="D217" t="s">
        <v>15</v>
      </c>
      <c r="E217" t="s">
        <v>62</v>
      </c>
      <c r="F217" t="s">
        <v>77</v>
      </c>
      <c r="G217" t="s">
        <v>22</v>
      </c>
      <c r="H217">
        <v>1</v>
      </c>
      <c r="I217" s="3">
        <v>899</v>
      </c>
      <c r="J217" s="4">
        <v>0</v>
      </c>
      <c r="K217" s="5">
        <v>899</v>
      </c>
      <c r="L217" t="s">
        <v>23</v>
      </c>
      <c r="M217">
        <v>4</v>
      </c>
    </row>
    <row r="218" spans="1:13">
      <c r="A218" t="s">
        <v>268</v>
      </c>
      <c r="B218" s="1">
        <v>45784</v>
      </c>
      <c r="C218" t="s">
        <v>34</v>
      </c>
      <c r="D218" t="s">
        <v>35</v>
      </c>
      <c r="E218" t="s">
        <v>20</v>
      </c>
      <c r="F218" t="s">
        <v>75</v>
      </c>
      <c r="G218" t="s">
        <v>22</v>
      </c>
      <c r="H218">
        <v>1</v>
      </c>
      <c r="I218" s="3">
        <v>45</v>
      </c>
      <c r="J218" s="4">
        <v>0</v>
      </c>
      <c r="K218" s="5">
        <v>45</v>
      </c>
      <c r="L218" t="s">
        <v>18</v>
      </c>
      <c r="M218">
        <v>3</v>
      </c>
    </row>
    <row r="219" spans="1:13">
      <c r="A219" t="s">
        <v>269</v>
      </c>
      <c r="B219" s="1">
        <v>45785</v>
      </c>
      <c r="C219" t="s">
        <v>34</v>
      </c>
      <c r="D219" t="s">
        <v>35</v>
      </c>
      <c r="E219" t="s">
        <v>16</v>
      </c>
      <c r="F219" t="s">
        <v>32</v>
      </c>
      <c r="G219" t="s">
        <v>2</v>
      </c>
      <c r="H219">
        <v>1</v>
      </c>
      <c r="I219" s="3">
        <v>89</v>
      </c>
      <c r="J219" s="4">
        <v>0</v>
      </c>
      <c r="K219" s="5">
        <v>89</v>
      </c>
      <c r="L219" t="s">
        <v>38</v>
      </c>
      <c r="M219">
        <v>5</v>
      </c>
    </row>
    <row r="220" spans="1:13">
      <c r="A220" t="s">
        <v>270</v>
      </c>
      <c r="B220" s="1">
        <v>45785</v>
      </c>
      <c r="C220" t="s">
        <v>54</v>
      </c>
      <c r="D220" t="s">
        <v>35</v>
      </c>
      <c r="E220" t="s">
        <v>20</v>
      </c>
      <c r="F220" t="s">
        <v>21</v>
      </c>
      <c r="G220" t="s">
        <v>2</v>
      </c>
      <c r="H220">
        <v>1</v>
      </c>
      <c r="I220" s="3">
        <v>69</v>
      </c>
      <c r="J220" s="4">
        <v>0</v>
      </c>
      <c r="K220" s="5">
        <v>69</v>
      </c>
      <c r="L220" t="s">
        <v>23</v>
      </c>
      <c r="M220">
        <v>4</v>
      </c>
    </row>
    <row r="221" spans="1:13">
      <c r="A221" t="s">
        <v>271</v>
      </c>
      <c r="B221" s="1">
        <v>45786</v>
      </c>
      <c r="C221" t="s">
        <v>14</v>
      </c>
      <c r="D221" t="s">
        <v>15</v>
      </c>
      <c r="E221" t="s">
        <v>16</v>
      </c>
      <c r="F221" t="s">
        <v>32</v>
      </c>
      <c r="G221" t="s">
        <v>2</v>
      </c>
      <c r="H221">
        <v>1</v>
      </c>
      <c r="I221" s="3">
        <v>89</v>
      </c>
      <c r="J221" s="4">
        <v>0.05</v>
      </c>
      <c r="K221" s="5">
        <v>84.55</v>
      </c>
      <c r="L221" t="s">
        <v>23</v>
      </c>
      <c r="M221">
        <v>4</v>
      </c>
    </row>
    <row r="222" spans="1:13">
      <c r="A222" t="s">
        <v>272</v>
      </c>
      <c r="B222" s="1">
        <v>45786</v>
      </c>
      <c r="C222" t="s">
        <v>40</v>
      </c>
      <c r="D222" t="s">
        <v>41</v>
      </c>
      <c r="E222" t="s">
        <v>62</v>
      </c>
      <c r="F222" t="s">
        <v>63</v>
      </c>
      <c r="G222" t="s">
        <v>22</v>
      </c>
      <c r="H222">
        <v>1</v>
      </c>
      <c r="I222" s="3">
        <v>2490</v>
      </c>
      <c r="J222" s="4">
        <v>0</v>
      </c>
      <c r="K222" s="5">
        <v>2490</v>
      </c>
      <c r="L222" t="s">
        <v>23</v>
      </c>
      <c r="M222">
        <v>5</v>
      </c>
    </row>
    <row r="223" spans="1:13">
      <c r="A223" t="s">
        <v>273</v>
      </c>
      <c r="B223" s="1">
        <v>45786</v>
      </c>
      <c r="C223" t="s">
        <v>31</v>
      </c>
      <c r="D223" t="s">
        <v>15</v>
      </c>
      <c r="E223" t="s">
        <v>20</v>
      </c>
      <c r="F223" t="s">
        <v>21</v>
      </c>
      <c r="G223" t="s">
        <v>37</v>
      </c>
      <c r="H223">
        <v>3</v>
      </c>
      <c r="I223" s="3">
        <v>69</v>
      </c>
      <c r="J223" s="4">
        <v>0</v>
      </c>
      <c r="K223" s="5">
        <v>207</v>
      </c>
      <c r="L223" t="s">
        <v>23</v>
      </c>
      <c r="M223">
        <v>4</v>
      </c>
    </row>
    <row r="224" spans="1:13">
      <c r="A224" t="s">
        <v>274</v>
      </c>
      <c r="B224" s="1">
        <v>45787</v>
      </c>
      <c r="C224" t="s">
        <v>25</v>
      </c>
      <c r="D224" t="s">
        <v>15</v>
      </c>
      <c r="E224" t="s">
        <v>48</v>
      </c>
      <c r="F224" t="s">
        <v>49</v>
      </c>
      <c r="G224" t="s">
        <v>37</v>
      </c>
      <c r="H224">
        <v>1</v>
      </c>
      <c r="I224" s="3">
        <v>3990</v>
      </c>
      <c r="J224" s="4">
        <v>0.1</v>
      </c>
      <c r="K224" s="5">
        <v>3591</v>
      </c>
      <c r="L224" t="s">
        <v>38</v>
      </c>
      <c r="M224">
        <v>4</v>
      </c>
    </row>
    <row r="225" spans="1:13">
      <c r="A225" t="s">
        <v>275</v>
      </c>
      <c r="B225" s="1">
        <v>45787</v>
      </c>
      <c r="C225" t="s">
        <v>14</v>
      </c>
      <c r="D225" t="s">
        <v>15</v>
      </c>
      <c r="E225" t="s">
        <v>48</v>
      </c>
      <c r="F225" t="s">
        <v>79</v>
      </c>
      <c r="G225" t="s">
        <v>2</v>
      </c>
      <c r="H225">
        <v>1</v>
      </c>
      <c r="I225" s="3">
        <v>1790</v>
      </c>
      <c r="J225" s="4">
        <v>0.05</v>
      </c>
      <c r="K225" s="5">
        <v>1700.5</v>
      </c>
      <c r="L225" t="s">
        <v>23</v>
      </c>
      <c r="M225">
        <v>4</v>
      </c>
    </row>
    <row r="226" spans="1:13">
      <c r="A226" t="s">
        <v>276</v>
      </c>
      <c r="B226" s="1">
        <v>45791</v>
      </c>
      <c r="C226" t="s">
        <v>34</v>
      </c>
      <c r="D226" t="s">
        <v>35</v>
      </c>
      <c r="E226" t="s">
        <v>48</v>
      </c>
      <c r="F226" t="s">
        <v>79</v>
      </c>
      <c r="G226" t="s">
        <v>2</v>
      </c>
      <c r="H226">
        <v>1</v>
      </c>
      <c r="I226" s="3">
        <v>1790</v>
      </c>
      <c r="J226" s="4">
        <v>0.1</v>
      </c>
      <c r="K226" s="5">
        <v>1611</v>
      </c>
      <c r="L226" t="s">
        <v>18</v>
      </c>
      <c r="M226">
        <v>5</v>
      </c>
    </row>
    <row r="227" spans="1:13">
      <c r="A227" t="s">
        <v>277</v>
      </c>
      <c r="B227" s="1">
        <v>45791</v>
      </c>
      <c r="C227" t="s">
        <v>54</v>
      </c>
      <c r="D227" t="s">
        <v>35</v>
      </c>
      <c r="E227" t="s">
        <v>20</v>
      </c>
      <c r="F227" t="s">
        <v>75</v>
      </c>
      <c r="G227" t="s">
        <v>2</v>
      </c>
      <c r="H227">
        <v>3</v>
      </c>
      <c r="I227" s="3">
        <v>45</v>
      </c>
      <c r="J227" s="4">
        <v>0.1</v>
      </c>
      <c r="K227" s="5">
        <v>121.5</v>
      </c>
      <c r="L227" t="s">
        <v>23</v>
      </c>
      <c r="M227">
        <v>5</v>
      </c>
    </row>
    <row r="228" spans="1:13">
      <c r="A228" t="s">
        <v>278</v>
      </c>
      <c r="B228" s="1">
        <v>45792</v>
      </c>
      <c r="C228" t="s">
        <v>31</v>
      </c>
      <c r="D228" t="s">
        <v>15</v>
      </c>
      <c r="E228" t="s">
        <v>20</v>
      </c>
      <c r="F228" t="s">
        <v>75</v>
      </c>
      <c r="G228" t="s">
        <v>2</v>
      </c>
      <c r="H228">
        <v>1</v>
      </c>
      <c r="I228" s="3">
        <v>45</v>
      </c>
      <c r="J228" s="4">
        <v>0.1</v>
      </c>
      <c r="K228" s="5">
        <v>40.5</v>
      </c>
      <c r="L228" t="s">
        <v>23</v>
      </c>
      <c r="M228">
        <v>4</v>
      </c>
    </row>
    <row r="229" spans="1:13">
      <c r="A229" t="s">
        <v>279</v>
      </c>
      <c r="B229" s="1">
        <v>45793</v>
      </c>
      <c r="C229" t="s">
        <v>40</v>
      </c>
      <c r="D229" t="s">
        <v>41</v>
      </c>
      <c r="E229" t="s">
        <v>16</v>
      </c>
      <c r="F229" t="s">
        <v>32</v>
      </c>
      <c r="G229" t="s">
        <v>2</v>
      </c>
      <c r="H229">
        <v>1</v>
      </c>
      <c r="I229" s="3">
        <v>89</v>
      </c>
      <c r="J229" s="4">
        <v>0</v>
      </c>
      <c r="K229" s="5">
        <v>89</v>
      </c>
      <c r="L229" t="s">
        <v>23</v>
      </c>
      <c r="M229">
        <v>4</v>
      </c>
    </row>
    <row r="230" spans="1:13">
      <c r="A230" t="s">
        <v>280</v>
      </c>
      <c r="B230" s="1">
        <v>45793</v>
      </c>
      <c r="C230" t="s">
        <v>34</v>
      </c>
      <c r="D230" t="s">
        <v>35</v>
      </c>
      <c r="E230" t="s">
        <v>16</v>
      </c>
      <c r="F230" t="s">
        <v>46</v>
      </c>
      <c r="G230" t="s">
        <v>2</v>
      </c>
      <c r="H230">
        <v>1</v>
      </c>
      <c r="I230" s="3">
        <v>29</v>
      </c>
      <c r="J230" s="4">
        <v>0</v>
      </c>
      <c r="K230" s="5">
        <v>29</v>
      </c>
      <c r="L230" t="s">
        <v>23</v>
      </c>
      <c r="M230">
        <v>5</v>
      </c>
    </row>
    <row r="231" spans="1:13">
      <c r="A231" t="s">
        <v>281</v>
      </c>
      <c r="B231" s="1">
        <v>45794</v>
      </c>
      <c r="C231" t="s">
        <v>40</v>
      </c>
      <c r="D231" t="s">
        <v>41</v>
      </c>
      <c r="E231" t="s">
        <v>20</v>
      </c>
      <c r="F231" t="s">
        <v>21</v>
      </c>
      <c r="G231" t="s">
        <v>2</v>
      </c>
      <c r="H231">
        <v>1</v>
      </c>
      <c r="I231" s="3">
        <v>69</v>
      </c>
      <c r="J231" s="4">
        <v>0.1</v>
      </c>
      <c r="K231" s="5">
        <v>62.1</v>
      </c>
      <c r="L231" t="s">
        <v>18</v>
      </c>
      <c r="M231">
        <v>4</v>
      </c>
    </row>
    <row r="232" spans="1:13">
      <c r="A232" t="s">
        <v>282</v>
      </c>
      <c r="B232" s="1">
        <v>45794</v>
      </c>
      <c r="C232" t="s">
        <v>14</v>
      </c>
      <c r="D232" t="s">
        <v>15</v>
      </c>
      <c r="E232" t="s">
        <v>16</v>
      </c>
      <c r="F232" t="s">
        <v>17</v>
      </c>
      <c r="G232" t="s">
        <v>2</v>
      </c>
      <c r="H232">
        <v>1</v>
      </c>
      <c r="I232" s="3">
        <v>19</v>
      </c>
      <c r="J232" s="4">
        <v>0.15</v>
      </c>
      <c r="K232" s="5">
        <v>16.149999999999999</v>
      </c>
      <c r="L232" t="s">
        <v>51</v>
      </c>
      <c r="M232">
        <v>5</v>
      </c>
    </row>
    <row r="233" spans="1:13">
      <c r="A233" t="s">
        <v>283</v>
      </c>
      <c r="B233" s="1">
        <v>45794</v>
      </c>
      <c r="C233" t="s">
        <v>14</v>
      </c>
      <c r="D233" t="s">
        <v>15</v>
      </c>
      <c r="E233" t="s">
        <v>62</v>
      </c>
      <c r="F233" t="s">
        <v>77</v>
      </c>
      <c r="G233" t="s">
        <v>22</v>
      </c>
      <c r="H233">
        <v>1</v>
      </c>
      <c r="I233" s="3">
        <v>899</v>
      </c>
      <c r="J233" s="4">
        <v>0.15</v>
      </c>
      <c r="K233" s="5">
        <v>764.15</v>
      </c>
      <c r="L233" t="s">
        <v>23</v>
      </c>
      <c r="M233">
        <v>4</v>
      </c>
    </row>
    <row r="234" spans="1:13">
      <c r="A234" t="s">
        <v>284</v>
      </c>
      <c r="B234" s="1">
        <v>45794</v>
      </c>
      <c r="C234" t="s">
        <v>40</v>
      </c>
      <c r="D234" t="s">
        <v>41</v>
      </c>
      <c r="E234" t="s">
        <v>26</v>
      </c>
      <c r="F234" t="s">
        <v>27</v>
      </c>
      <c r="G234" t="s">
        <v>2</v>
      </c>
      <c r="H234">
        <v>1</v>
      </c>
      <c r="I234" s="3">
        <v>699</v>
      </c>
      <c r="J234" s="4">
        <v>0.2</v>
      </c>
      <c r="K234" s="5">
        <v>559.20000000000005</v>
      </c>
      <c r="L234" t="s">
        <v>23</v>
      </c>
      <c r="M234">
        <v>4</v>
      </c>
    </row>
    <row r="235" spans="1:13">
      <c r="A235" t="s">
        <v>285</v>
      </c>
      <c r="B235" s="1">
        <v>45794</v>
      </c>
      <c r="C235" t="s">
        <v>54</v>
      </c>
      <c r="D235" t="s">
        <v>35</v>
      </c>
      <c r="E235" t="s">
        <v>20</v>
      </c>
      <c r="F235" t="s">
        <v>42</v>
      </c>
      <c r="G235" t="s">
        <v>2</v>
      </c>
      <c r="H235">
        <v>3</v>
      </c>
      <c r="I235" s="3">
        <v>59</v>
      </c>
      <c r="J235" s="4">
        <v>0.15</v>
      </c>
      <c r="K235" s="5">
        <v>150.44999999999999</v>
      </c>
      <c r="L235" t="s">
        <v>18</v>
      </c>
      <c r="M235">
        <v>5</v>
      </c>
    </row>
    <row r="236" spans="1:13">
      <c r="A236" t="s">
        <v>286</v>
      </c>
      <c r="B236" s="1">
        <v>45795</v>
      </c>
      <c r="C236" t="s">
        <v>44</v>
      </c>
      <c r="D236" t="s">
        <v>45</v>
      </c>
      <c r="E236" t="s">
        <v>20</v>
      </c>
      <c r="F236" t="s">
        <v>75</v>
      </c>
      <c r="G236" t="s">
        <v>22</v>
      </c>
      <c r="H236">
        <v>3</v>
      </c>
      <c r="I236" s="3">
        <v>45</v>
      </c>
      <c r="J236" s="4">
        <v>0</v>
      </c>
      <c r="K236" s="5">
        <v>135</v>
      </c>
      <c r="L236" t="s">
        <v>38</v>
      </c>
      <c r="M236">
        <v>4</v>
      </c>
    </row>
    <row r="237" spans="1:13">
      <c r="A237" t="s">
        <v>287</v>
      </c>
      <c r="B237" s="1">
        <v>45795</v>
      </c>
      <c r="C237" t="s">
        <v>54</v>
      </c>
      <c r="D237" t="s">
        <v>35</v>
      </c>
      <c r="E237" t="s">
        <v>48</v>
      </c>
      <c r="F237" t="s">
        <v>79</v>
      </c>
      <c r="G237" t="s">
        <v>2</v>
      </c>
      <c r="H237">
        <v>1</v>
      </c>
      <c r="I237" s="3">
        <v>1790</v>
      </c>
      <c r="J237" s="4">
        <v>0.05</v>
      </c>
      <c r="K237" s="5">
        <v>1700.5</v>
      </c>
      <c r="L237" t="s">
        <v>23</v>
      </c>
      <c r="M237">
        <v>4</v>
      </c>
    </row>
    <row r="238" spans="1:13">
      <c r="A238" t="s">
        <v>288</v>
      </c>
      <c r="B238" s="1">
        <v>45797</v>
      </c>
      <c r="C238" t="s">
        <v>31</v>
      </c>
      <c r="D238" t="s">
        <v>15</v>
      </c>
      <c r="E238" t="s">
        <v>20</v>
      </c>
      <c r="F238" t="s">
        <v>55</v>
      </c>
      <c r="G238" t="s">
        <v>22</v>
      </c>
      <c r="H238">
        <v>2</v>
      </c>
      <c r="I238" s="3">
        <v>35</v>
      </c>
      <c r="J238" s="4">
        <v>0</v>
      </c>
      <c r="K238" s="5">
        <v>70</v>
      </c>
      <c r="L238" t="s">
        <v>38</v>
      </c>
      <c r="M238">
        <v>5</v>
      </c>
    </row>
    <row r="239" spans="1:13">
      <c r="A239" t="s">
        <v>289</v>
      </c>
      <c r="B239" s="1">
        <v>45797</v>
      </c>
      <c r="C239" t="s">
        <v>34</v>
      </c>
      <c r="D239" t="s">
        <v>35</v>
      </c>
      <c r="E239" t="s">
        <v>26</v>
      </c>
      <c r="F239" t="s">
        <v>60</v>
      </c>
      <c r="G239" t="s">
        <v>22</v>
      </c>
      <c r="H239">
        <v>1</v>
      </c>
      <c r="I239" s="3">
        <v>1890</v>
      </c>
      <c r="J239" s="4">
        <v>0.1</v>
      </c>
      <c r="K239" s="5">
        <v>1701</v>
      </c>
      <c r="L239" t="s">
        <v>38</v>
      </c>
      <c r="M239">
        <v>1</v>
      </c>
    </row>
    <row r="240" spans="1:13">
      <c r="A240" t="s">
        <v>290</v>
      </c>
      <c r="B240" s="1">
        <v>45799</v>
      </c>
      <c r="C240" t="s">
        <v>44</v>
      </c>
      <c r="D240" t="s">
        <v>45</v>
      </c>
      <c r="E240" t="s">
        <v>26</v>
      </c>
      <c r="F240" t="s">
        <v>27</v>
      </c>
      <c r="G240" t="s">
        <v>37</v>
      </c>
      <c r="H240">
        <v>1</v>
      </c>
      <c r="I240" s="3">
        <v>699</v>
      </c>
      <c r="J240" s="4">
        <v>0.2</v>
      </c>
      <c r="K240" s="5">
        <v>559.20000000000005</v>
      </c>
      <c r="L240" t="s">
        <v>18</v>
      </c>
      <c r="M240">
        <v>5</v>
      </c>
    </row>
    <row r="241" spans="1:13">
      <c r="A241" t="s">
        <v>291</v>
      </c>
      <c r="B241" s="1">
        <v>45799</v>
      </c>
      <c r="C241" t="s">
        <v>25</v>
      </c>
      <c r="D241" t="s">
        <v>15</v>
      </c>
      <c r="E241" t="s">
        <v>16</v>
      </c>
      <c r="F241" t="s">
        <v>46</v>
      </c>
      <c r="G241" t="s">
        <v>2</v>
      </c>
      <c r="H241">
        <v>1</v>
      </c>
      <c r="I241" s="3">
        <v>29</v>
      </c>
      <c r="J241" s="4">
        <v>0</v>
      </c>
      <c r="K241" s="5">
        <v>29</v>
      </c>
      <c r="L241" t="s">
        <v>23</v>
      </c>
      <c r="M241">
        <v>1</v>
      </c>
    </row>
    <row r="242" spans="1:13">
      <c r="A242" t="s">
        <v>292</v>
      </c>
      <c r="B242" s="1">
        <v>45800</v>
      </c>
      <c r="C242" t="s">
        <v>44</v>
      </c>
      <c r="D242" t="s">
        <v>45</v>
      </c>
      <c r="E242" t="s">
        <v>26</v>
      </c>
      <c r="F242" t="s">
        <v>29</v>
      </c>
      <c r="G242" t="s">
        <v>22</v>
      </c>
      <c r="H242">
        <v>1</v>
      </c>
      <c r="I242" s="3">
        <v>549</v>
      </c>
      <c r="J242" s="4">
        <v>0</v>
      </c>
      <c r="K242" s="5">
        <v>549</v>
      </c>
      <c r="L242" t="s">
        <v>23</v>
      </c>
      <c r="M242">
        <v>4</v>
      </c>
    </row>
    <row r="243" spans="1:13">
      <c r="A243" t="s">
        <v>293</v>
      </c>
      <c r="B243" s="1">
        <v>45801</v>
      </c>
      <c r="C243" t="s">
        <v>57</v>
      </c>
      <c r="D243" t="s">
        <v>15</v>
      </c>
      <c r="E243" t="s">
        <v>16</v>
      </c>
      <c r="F243" t="s">
        <v>17</v>
      </c>
      <c r="G243" t="s">
        <v>2</v>
      </c>
      <c r="H243">
        <v>1</v>
      </c>
      <c r="I243" s="3">
        <v>19</v>
      </c>
      <c r="J243" s="4">
        <v>0</v>
      </c>
      <c r="K243" s="5">
        <v>19</v>
      </c>
      <c r="L243" t="s">
        <v>18</v>
      </c>
      <c r="M243">
        <v>4</v>
      </c>
    </row>
    <row r="244" spans="1:13">
      <c r="A244" t="s">
        <v>294</v>
      </c>
      <c r="B244" s="1">
        <v>45802</v>
      </c>
      <c r="C244" t="s">
        <v>25</v>
      </c>
      <c r="D244" t="s">
        <v>15</v>
      </c>
      <c r="E244" t="s">
        <v>26</v>
      </c>
      <c r="F244" t="s">
        <v>27</v>
      </c>
      <c r="G244" t="s">
        <v>2</v>
      </c>
      <c r="H244">
        <v>1</v>
      </c>
      <c r="I244" s="3">
        <v>699</v>
      </c>
      <c r="J244" s="4">
        <v>0</v>
      </c>
      <c r="K244" s="5">
        <v>699</v>
      </c>
      <c r="L244" t="s">
        <v>23</v>
      </c>
      <c r="M244">
        <v>4</v>
      </c>
    </row>
    <row r="245" spans="1:13">
      <c r="A245" t="s">
        <v>295</v>
      </c>
      <c r="B245" s="1">
        <v>45803</v>
      </c>
      <c r="C245" t="s">
        <v>14</v>
      </c>
      <c r="D245" t="s">
        <v>15</v>
      </c>
      <c r="E245" t="s">
        <v>26</v>
      </c>
      <c r="F245" t="s">
        <v>60</v>
      </c>
      <c r="G245" t="s">
        <v>2</v>
      </c>
      <c r="H245">
        <v>1</v>
      </c>
      <c r="I245" s="3">
        <v>1890</v>
      </c>
      <c r="J245" s="4">
        <v>0</v>
      </c>
      <c r="K245" s="5">
        <v>1890</v>
      </c>
      <c r="L245" t="s">
        <v>51</v>
      </c>
      <c r="M245">
        <v>3</v>
      </c>
    </row>
    <row r="246" spans="1:13">
      <c r="A246" t="s">
        <v>296</v>
      </c>
      <c r="B246" s="1">
        <v>45804</v>
      </c>
      <c r="C246" t="s">
        <v>25</v>
      </c>
      <c r="D246" t="s">
        <v>15</v>
      </c>
      <c r="E246" t="s">
        <v>26</v>
      </c>
      <c r="F246" t="s">
        <v>27</v>
      </c>
      <c r="G246" t="s">
        <v>2</v>
      </c>
      <c r="H246">
        <v>1</v>
      </c>
      <c r="I246" s="3">
        <v>699</v>
      </c>
      <c r="J246" s="4">
        <v>0</v>
      </c>
      <c r="K246" s="5">
        <v>699</v>
      </c>
      <c r="L246" t="s">
        <v>18</v>
      </c>
      <c r="M246">
        <v>2</v>
      </c>
    </row>
    <row r="247" spans="1:13">
      <c r="A247" t="s">
        <v>297</v>
      </c>
      <c r="B247" s="1">
        <v>45805</v>
      </c>
      <c r="C247" t="s">
        <v>44</v>
      </c>
      <c r="D247" t="s">
        <v>45</v>
      </c>
      <c r="E247" t="s">
        <v>16</v>
      </c>
      <c r="F247" t="s">
        <v>46</v>
      </c>
      <c r="G247" t="s">
        <v>2</v>
      </c>
      <c r="H247">
        <v>2</v>
      </c>
      <c r="I247" s="3">
        <v>29</v>
      </c>
      <c r="J247" s="4">
        <v>0.15</v>
      </c>
      <c r="K247" s="5">
        <v>49.3</v>
      </c>
      <c r="L247" t="s">
        <v>51</v>
      </c>
      <c r="M247">
        <v>4</v>
      </c>
    </row>
    <row r="248" spans="1:13">
      <c r="A248" t="s">
        <v>298</v>
      </c>
      <c r="B248" s="1">
        <v>45805</v>
      </c>
      <c r="C248" t="s">
        <v>34</v>
      </c>
      <c r="D248" t="s">
        <v>35</v>
      </c>
      <c r="E248" t="s">
        <v>16</v>
      </c>
      <c r="F248" t="s">
        <v>17</v>
      </c>
      <c r="G248" t="s">
        <v>2</v>
      </c>
      <c r="H248">
        <v>1</v>
      </c>
      <c r="I248" s="3">
        <v>19</v>
      </c>
      <c r="J248" s="4">
        <v>0.15</v>
      </c>
      <c r="K248" s="5">
        <v>16.149999999999999</v>
      </c>
      <c r="L248" t="s">
        <v>23</v>
      </c>
      <c r="M248">
        <v>4</v>
      </c>
    </row>
    <row r="249" spans="1:13">
      <c r="A249" t="s">
        <v>299</v>
      </c>
      <c r="B249" s="1">
        <v>45805</v>
      </c>
      <c r="C249" t="s">
        <v>40</v>
      </c>
      <c r="D249" t="s">
        <v>41</v>
      </c>
      <c r="E249" t="s">
        <v>20</v>
      </c>
      <c r="F249" t="s">
        <v>21</v>
      </c>
      <c r="G249" t="s">
        <v>22</v>
      </c>
      <c r="H249">
        <v>5</v>
      </c>
      <c r="I249" s="3">
        <v>69</v>
      </c>
      <c r="J249" s="4">
        <v>0</v>
      </c>
      <c r="K249" s="5">
        <v>345</v>
      </c>
      <c r="L249" t="s">
        <v>18</v>
      </c>
    </row>
    <row r="250" spans="1:13">
      <c r="A250" t="s">
        <v>300</v>
      </c>
      <c r="B250" s="1">
        <v>45806</v>
      </c>
      <c r="C250" t="s">
        <v>14</v>
      </c>
      <c r="D250" t="s">
        <v>15</v>
      </c>
      <c r="E250" t="s">
        <v>16</v>
      </c>
      <c r="F250" t="s">
        <v>46</v>
      </c>
      <c r="G250" t="s">
        <v>2</v>
      </c>
      <c r="H250">
        <v>1</v>
      </c>
      <c r="I250" s="3">
        <v>29</v>
      </c>
      <c r="J250" s="4">
        <v>0</v>
      </c>
      <c r="K250" s="5">
        <v>29</v>
      </c>
      <c r="L250" t="s">
        <v>23</v>
      </c>
      <c r="M250">
        <v>4</v>
      </c>
    </row>
    <row r="251" spans="1:13">
      <c r="A251" t="s">
        <v>301</v>
      </c>
      <c r="B251" s="1">
        <v>45807</v>
      </c>
      <c r="C251" t="s">
        <v>57</v>
      </c>
      <c r="D251" t="s">
        <v>15</v>
      </c>
      <c r="E251" t="s">
        <v>62</v>
      </c>
      <c r="F251" t="s">
        <v>63</v>
      </c>
      <c r="G251" t="s">
        <v>37</v>
      </c>
      <c r="H251">
        <v>1</v>
      </c>
      <c r="I251" s="3">
        <v>2490</v>
      </c>
      <c r="J251" s="4">
        <v>0</v>
      </c>
      <c r="K251" s="5">
        <v>2490</v>
      </c>
      <c r="L251" t="s">
        <v>23</v>
      </c>
      <c r="M251">
        <v>5</v>
      </c>
    </row>
    <row r="252" spans="1:13">
      <c r="A252" t="s">
        <v>302</v>
      </c>
      <c r="B252" s="1">
        <v>45808</v>
      </c>
      <c r="C252" t="s">
        <v>40</v>
      </c>
      <c r="D252" t="s">
        <v>41</v>
      </c>
      <c r="E252" t="s">
        <v>16</v>
      </c>
      <c r="F252" t="s">
        <v>32</v>
      </c>
      <c r="G252" t="s">
        <v>2</v>
      </c>
      <c r="H252">
        <v>1</v>
      </c>
      <c r="I252" s="3">
        <v>89</v>
      </c>
      <c r="J252" s="4">
        <v>0.05</v>
      </c>
      <c r="K252" s="5">
        <v>84.55</v>
      </c>
      <c r="L252" t="s">
        <v>18</v>
      </c>
      <c r="M252">
        <v>3</v>
      </c>
    </row>
    <row r="253" spans="1:13">
      <c r="A253" t="s">
        <v>303</v>
      </c>
      <c r="B253" s="1">
        <v>45809</v>
      </c>
      <c r="C253" t="s">
        <v>44</v>
      </c>
      <c r="D253" t="s">
        <v>45</v>
      </c>
      <c r="E253" t="s">
        <v>20</v>
      </c>
      <c r="F253" t="s">
        <v>42</v>
      </c>
      <c r="G253" t="s">
        <v>2</v>
      </c>
      <c r="H253">
        <v>1</v>
      </c>
      <c r="I253" s="3">
        <v>59</v>
      </c>
      <c r="J253" s="4">
        <v>0.2</v>
      </c>
      <c r="K253" s="5">
        <v>47.2</v>
      </c>
      <c r="L253" t="s">
        <v>23</v>
      </c>
      <c r="M253">
        <v>5</v>
      </c>
    </row>
    <row r="254" spans="1:13">
      <c r="A254" t="s">
        <v>304</v>
      </c>
      <c r="B254" s="1">
        <v>45810</v>
      </c>
      <c r="C254" t="s">
        <v>40</v>
      </c>
      <c r="D254" t="s">
        <v>41</v>
      </c>
      <c r="E254" t="s">
        <v>62</v>
      </c>
      <c r="F254" t="s">
        <v>100</v>
      </c>
      <c r="G254" t="s">
        <v>22</v>
      </c>
      <c r="H254">
        <v>1</v>
      </c>
      <c r="I254" s="3">
        <v>1190</v>
      </c>
      <c r="J254" s="4">
        <v>0</v>
      </c>
      <c r="K254" s="5">
        <v>1190</v>
      </c>
      <c r="L254" t="s">
        <v>23</v>
      </c>
      <c r="M254">
        <v>5</v>
      </c>
    </row>
    <row r="255" spans="1:13">
      <c r="A255" t="s">
        <v>305</v>
      </c>
      <c r="B255" s="1">
        <v>45811</v>
      </c>
      <c r="C255" t="s">
        <v>31</v>
      </c>
      <c r="D255" t="s">
        <v>15</v>
      </c>
      <c r="E255" t="s">
        <v>26</v>
      </c>
      <c r="F255" t="s">
        <v>29</v>
      </c>
      <c r="G255" t="s">
        <v>2</v>
      </c>
      <c r="H255">
        <v>1</v>
      </c>
      <c r="I255" s="3">
        <v>549</v>
      </c>
      <c r="J255" s="4">
        <v>0.05</v>
      </c>
      <c r="K255" s="5">
        <v>521.54999999999995</v>
      </c>
      <c r="L255" t="s">
        <v>23</v>
      </c>
      <c r="M255">
        <v>5</v>
      </c>
    </row>
    <row r="256" spans="1:13">
      <c r="A256" t="s">
        <v>306</v>
      </c>
      <c r="B256" s="1">
        <v>45811</v>
      </c>
      <c r="C256" t="s">
        <v>34</v>
      </c>
      <c r="D256" t="s">
        <v>35</v>
      </c>
      <c r="E256" t="s">
        <v>16</v>
      </c>
      <c r="F256" t="s">
        <v>46</v>
      </c>
      <c r="G256" t="s">
        <v>2</v>
      </c>
      <c r="H256">
        <v>1</v>
      </c>
      <c r="I256" s="3">
        <v>29</v>
      </c>
      <c r="J256" s="4">
        <v>0</v>
      </c>
      <c r="K256" s="5">
        <v>29</v>
      </c>
      <c r="L256" t="s">
        <v>18</v>
      </c>
      <c r="M256">
        <v>3</v>
      </c>
    </row>
    <row r="257" spans="1:13">
      <c r="A257" t="s">
        <v>307</v>
      </c>
      <c r="B257" s="1">
        <v>45811</v>
      </c>
      <c r="C257" t="s">
        <v>57</v>
      </c>
      <c r="D257" t="s">
        <v>15</v>
      </c>
      <c r="E257" t="s">
        <v>26</v>
      </c>
      <c r="F257" t="s">
        <v>29</v>
      </c>
      <c r="G257" t="s">
        <v>37</v>
      </c>
      <c r="H257">
        <v>1</v>
      </c>
      <c r="I257" s="3">
        <v>549</v>
      </c>
      <c r="J257" s="4">
        <v>0</v>
      </c>
      <c r="K257" s="5">
        <v>549</v>
      </c>
      <c r="L257" t="s">
        <v>51</v>
      </c>
      <c r="M257">
        <v>4</v>
      </c>
    </row>
    <row r="258" spans="1:13">
      <c r="A258" t="s">
        <v>308</v>
      </c>
      <c r="B258" s="1">
        <v>45811</v>
      </c>
      <c r="C258" t="s">
        <v>34</v>
      </c>
      <c r="D258" t="s">
        <v>35</v>
      </c>
      <c r="E258" t="s">
        <v>20</v>
      </c>
      <c r="F258" t="s">
        <v>75</v>
      </c>
      <c r="G258" t="s">
        <v>2</v>
      </c>
      <c r="H258">
        <v>1</v>
      </c>
      <c r="I258" s="3">
        <v>45</v>
      </c>
      <c r="J258" s="4">
        <v>0</v>
      </c>
      <c r="K258" s="5">
        <v>45</v>
      </c>
      <c r="L258" t="s">
        <v>23</v>
      </c>
      <c r="M258">
        <v>5</v>
      </c>
    </row>
    <row r="259" spans="1:13">
      <c r="A259" t="s">
        <v>309</v>
      </c>
      <c r="B259" s="1">
        <v>45811</v>
      </c>
      <c r="C259" t="s">
        <v>31</v>
      </c>
      <c r="D259" t="s">
        <v>15</v>
      </c>
      <c r="E259" t="s">
        <v>20</v>
      </c>
      <c r="F259" t="s">
        <v>21</v>
      </c>
      <c r="G259" t="s">
        <v>2</v>
      </c>
      <c r="H259">
        <v>1</v>
      </c>
      <c r="I259" s="3">
        <v>69</v>
      </c>
      <c r="J259" s="4">
        <v>0</v>
      </c>
      <c r="K259" s="5">
        <v>69</v>
      </c>
      <c r="L259" t="s">
        <v>23</v>
      </c>
      <c r="M259">
        <v>3</v>
      </c>
    </row>
    <row r="260" spans="1:13">
      <c r="A260" t="s">
        <v>310</v>
      </c>
      <c r="B260" s="1">
        <v>45811</v>
      </c>
      <c r="C260" t="s">
        <v>14</v>
      </c>
      <c r="D260" t="s">
        <v>15</v>
      </c>
      <c r="E260" t="s">
        <v>26</v>
      </c>
      <c r="F260" t="s">
        <v>27</v>
      </c>
      <c r="G260" t="s">
        <v>22</v>
      </c>
      <c r="H260">
        <v>1</v>
      </c>
      <c r="I260" s="3">
        <v>699</v>
      </c>
      <c r="J260" s="4">
        <v>0</v>
      </c>
      <c r="K260" s="5">
        <v>699</v>
      </c>
      <c r="L260" t="s">
        <v>23</v>
      </c>
      <c r="M260">
        <v>5</v>
      </c>
    </row>
    <row r="261" spans="1:13">
      <c r="A261" t="s">
        <v>311</v>
      </c>
      <c r="B261" s="1">
        <v>45813</v>
      </c>
      <c r="C261" t="s">
        <v>31</v>
      </c>
      <c r="D261" t="s">
        <v>15</v>
      </c>
      <c r="E261" t="s">
        <v>48</v>
      </c>
      <c r="F261" t="s">
        <v>49</v>
      </c>
      <c r="G261" t="s">
        <v>22</v>
      </c>
      <c r="H261">
        <v>1</v>
      </c>
      <c r="I261" s="3">
        <v>3990</v>
      </c>
      <c r="J261" s="4">
        <v>0</v>
      </c>
      <c r="K261" s="5">
        <v>3990</v>
      </c>
      <c r="L261" t="s">
        <v>23</v>
      </c>
      <c r="M261">
        <v>5</v>
      </c>
    </row>
    <row r="262" spans="1:13">
      <c r="A262" t="s">
        <v>312</v>
      </c>
      <c r="B262" s="1">
        <v>45813</v>
      </c>
      <c r="C262" t="s">
        <v>31</v>
      </c>
      <c r="D262" t="s">
        <v>15</v>
      </c>
      <c r="E262" t="s">
        <v>62</v>
      </c>
      <c r="F262" t="s">
        <v>100</v>
      </c>
      <c r="G262" t="s">
        <v>37</v>
      </c>
      <c r="H262">
        <v>1</v>
      </c>
      <c r="I262" s="3">
        <v>1190</v>
      </c>
      <c r="J262" s="4">
        <v>0.2</v>
      </c>
      <c r="K262" s="5">
        <v>952</v>
      </c>
      <c r="L262" t="s">
        <v>18</v>
      </c>
      <c r="M262">
        <v>4</v>
      </c>
    </row>
    <row r="263" spans="1:13">
      <c r="A263" t="s">
        <v>313</v>
      </c>
      <c r="B263" s="1">
        <v>45813</v>
      </c>
      <c r="C263" t="s">
        <v>34</v>
      </c>
      <c r="D263" t="s">
        <v>35</v>
      </c>
      <c r="E263" t="s">
        <v>26</v>
      </c>
      <c r="F263" t="s">
        <v>60</v>
      </c>
      <c r="G263" t="s">
        <v>2</v>
      </c>
      <c r="H263">
        <v>1</v>
      </c>
      <c r="I263" s="3">
        <v>1890</v>
      </c>
      <c r="J263" s="4">
        <v>0</v>
      </c>
      <c r="K263" s="5">
        <v>1890</v>
      </c>
      <c r="L263" t="s">
        <v>18</v>
      </c>
      <c r="M263">
        <v>4</v>
      </c>
    </row>
    <row r="264" spans="1:13">
      <c r="A264" t="s">
        <v>314</v>
      </c>
      <c r="B264" s="1">
        <v>45814</v>
      </c>
      <c r="C264" t="s">
        <v>34</v>
      </c>
      <c r="D264" t="s">
        <v>35</v>
      </c>
      <c r="E264" t="s">
        <v>16</v>
      </c>
      <c r="F264" t="s">
        <v>46</v>
      </c>
      <c r="G264" t="s">
        <v>2</v>
      </c>
      <c r="H264">
        <v>1</v>
      </c>
      <c r="I264" s="3">
        <v>29</v>
      </c>
      <c r="J264" s="4">
        <v>0</v>
      </c>
      <c r="K264" s="5">
        <v>29</v>
      </c>
      <c r="L264" t="s">
        <v>51</v>
      </c>
      <c r="M264">
        <v>4</v>
      </c>
    </row>
    <row r="265" spans="1:13">
      <c r="A265" t="s">
        <v>315</v>
      </c>
      <c r="B265" s="1">
        <v>45814</v>
      </c>
      <c r="C265" t="s">
        <v>57</v>
      </c>
      <c r="D265" t="s">
        <v>15</v>
      </c>
      <c r="E265" t="s">
        <v>48</v>
      </c>
      <c r="F265" t="s">
        <v>65</v>
      </c>
      <c r="G265" t="s">
        <v>2</v>
      </c>
      <c r="H265">
        <v>2</v>
      </c>
      <c r="I265" s="3">
        <v>2590</v>
      </c>
      <c r="J265" s="4">
        <v>0.1</v>
      </c>
      <c r="K265" s="5">
        <v>4662</v>
      </c>
      <c r="L265" t="s">
        <v>23</v>
      </c>
      <c r="M265">
        <v>1</v>
      </c>
    </row>
    <row r="266" spans="1:13">
      <c r="A266" t="s">
        <v>316</v>
      </c>
      <c r="B266" s="1">
        <v>45814</v>
      </c>
      <c r="C266" t="s">
        <v>54</v>
      </c>
      <c r="D266" t="s">
        <v>35</v>
      </c>
      <c r="E266" t="s">
        <v>20</v>
      </c>
      <c r="F266" t="s">
        <v>75</v>
      </c>
      <c r="G266" t="s">
        <v>22</v>
      </c>
      <c r="H266">
        <v>2</v>
      </c>
      <c r="I266" s="3">
        <v>45</v>
      </c>
      <c r="J266" s="4">
        <v>0.1</v>
      </c>
      <c r="K266" s="5">
        <v>81</v>
      </c>
      <c r="L266" t="s">
        <v>23</v>
      </c>
      <c r="M266">
        <v>3</v>
      </c>
    </row>
    <row r="267" spans="1:13">
      <c r="A267" t="s">
        <v>317</v>
      </c>
      <c r="B267" s="1">
        <v>45814</v>
      </c>
      <c r="C267" t="s">
        <v>54</v>
      </c>
      <c r="D267" t="s">
        <v>35</v>
      </c>
      <c r="E267" t="s">
        <v>48</v>
      </c>
      <c r="F267" t="s">
        <v>49</v>
      </c>
      <c r="G267" t="s">
        <v>2</v>
      </c>
      <c r="H267">
        <v>1</v>
      </c>
      <c r="I267" s="3">
        <v>3990</v>
      </c>
      <c r="J267" s="4">
        <v>0.05</v>
      </c>
      <c r="K267" s="5">
        <v>3790.5</v>
      </c>
      <c r="L267" t="s">
        <v>51</v>
      </c>
      <c r="M267">
        <v>5</v>
      </c>
    </row>
    <row r="268" spans="1:13">
      <c r="A268" t="s">
        <v>318</v>
      </c>
      <c r="B268" s="1">
        <v>45815</v>
      </c>
      <c r="C268" t="s">
        <v>54</v>
      </c>
      <c r="D268" t="s">
        <v>35</v>
      </c>
      <c r="E268" t="s">
        <v>16</v>
      </c>
      <c r="F268" t="s">
        <v>46</v>
      </c>
      <c r="G268" t="s">
        <v>2</v>
      </c>
      <c r="H268">
        <v>2</v>
      </c>
      <c r="I268" s="3">
        <v>29</v>
      </c>
      <c r="J268" s="4">
        <v>0</v>
      </c>
      <c r="K268" s="5">
        <v>58</v>
      </c>
      <c r="L268" t="s">
        <v>23</v>
      </c>
      <c r="M268">
        <v>1</v>
      </c>
    </row>
    <row r="269" spans="1:13">
      <c r="A269" t="s">
        <v>319</v>
      </c>
      <c r="B269" s="1">
        <v>45816</v>
      </c>
      <c r="C269" t="s">
        <v>31</v>
      </c>
      <c r="D269" t="s">
        <v>15</v>
      </c>
      <c r="E269" t="s">
        <v>20</v>
      </c>
      <c r="F269" t="s">
        <v>42</v>
      </c>
      <c r="G269" t="s">
        <v>22</v>
      </c>
      <c r="H269">
        <v>1</v>
      </c>
      <c r="I269" s="3">
        <v>59</v>
      </c>
      <c r="J269" s="4">
        <v>0.05</v>
      </c>
      <c r="K269" s="5">
        <v>56.05</v>
      </c>
      <c r="L269" t="s">
        <v>23</v>
      </c>
    </row>
    <row r="270" spans="1:13">
      <c r="A270" t="s">
        <v>320</v>
      </c>
      <c r="B270" s="1">
        <v>45816</v>
      </c>
      <c r="C270" t="s">
        <v>54</v>
      </c>
      <c r="D270" t="s">
        <v>35</v>
      </c>
      <c r="E270" t="s">
        <v>16</v>
      </c>
      <c r="F270" t="s">
        <v>32</v>
      </c>
      <c r="G270" t="s">
        <v>2</v>
      </c>
      <c r="H270">
        <v>2</v>
      </c>
      <c r="I270" s="3">
        <v>89</v>
      </c>
      <c r="J270" s="4">
        <v>0</v>
      </c>
      <c r="K270" s="5">
        <v>178</v>
      </c>
      <c r="L270" t="s">
        <v>23</v>
      </c>
      <c r="M270">
        <v>5</v>
      </c>
    </row>
    <row r="271" spans="1:13">
      <c r="A271" t="s">
        <v>321</v>
      </c>
      <c r="B271" s="1">
        <v>45817</v>
      </c>
      <c r="C271" t="s">
        <v>14</v>
      </c>
      <c r="D271" t="s">
        <v>15</v>
      </c>
      <c r="E271" t="s">
        <v>62</v>
      </c>
      <c r="F271" t="s">
        <v>77</v>
      </c>
      <c r="G271" t="s">
        <v>2</v>
      </c>
      <c r="H271">
        <v>1</v>
      </c>
      <c r="I271" s="3">
        <v>899</v>
      </c>
      <c r="J271" s="4">
        <v>0</v>
      </c>
      <c r="K271" s="5">
        <v>899</v>
      </c>
      <c r="L271" t="s">
        <v>23</v>
      </c>
      <c r="M271">
        <v>5</v>
      </c>
    </row>
    <row r="272" spans="1:13">
      <c r="A272" t="s">
        <v>322</v>
      </c>
      <c r="B272" s="1">
        <v>45817</v>
      </c>
      <c r="C272" t="s">
        <v>57</v>
      </c>
      <c r="D272" t="s">
        <v>15</v>
      </c>
      <c r="E272" t="s">
        <v>16</v>
      </c>
      <c r="F272" t="s">
        <v>46</v>
      </c>
      <c r="G272" t="s">
        <v>2</v>
      </c>
      <c r="H272">
        <v>1</v>
      </c>
      <c r="I272" s="3">
        <v>29</v>
      </c>
      <c r="J272" s="4">
        <v>0.1</v>
      </c>
      <c r="K272" s="5">
        <v>26.1</v>
      </c>
      <c r="L272" t="s">
        <v>23</v>
      </c>
      <c r="M272">
        <v>5</v>
      </c>
    </row>
    <row r="273" spans="1:13">
      <c r="A273" t="s">
        <v>323</v>
      </c>
      <c r="B273" s="1">
        <v>45817</v>
      </c>
      <c r="C273" t="s">
        <v>25</v>
      </c>
      <c r="D273" t="s">
        <v>15</v>
      </c>
      <c r="E273" t="s">
        <v>48</v>
      </c>
      <c r="F273" t="s">
        <v>65</v>
      </c>
      <c r="G273" t="s">
        <v>2</v>
      </c>
      <c r="H273">
        <v>1</v>
      </c>
      <c r="I273" s="3">
        <v>2590</v>
      </c>
      <c r="J273" s="4">
        <v>0</v>
      </c>
      <c r="K273" s="5">
        <v>2590</v>
      </c>
      <c r="L273" t="s">
        <v>23</v>
      </c>
      <c r="M273">
        <v>4</v>
      </c>
    </row>
    <row r="274" spans="1:13">
      <c r="A274" t="s">
        <v>324</v>
      </c>
      <c r="B274" s="1">
        <v>45817</v>
      </c>
      <c r="C274" t="s">
        <v>54</v>
      </c>
      <c r="D274" t="s">
        <v>35</v>
      </c>
      <c r="E274" t="s">
        <v>26</v>
      </c>
      <c r="F274" t="s">
        <v>27</v>
      </c>
      <c r="G274" t="s">
        <v>22</v>
      </c>
      <c r="H274">
        <v>1</v>
      </c>
      <c r="I274" s="3">
        <v>699</v>
      </c>
      <c r="J274" s="4">
        <v>0.15</v>
      </c>
      <c r="K274" s="5">
        <v>594.15</v>
      </c>
      <c r="L274" t="s">
        <v>23</v>
      </c>
      <c r="M274">
        <v>5</v>
      </c>
    </row>
    <row r="275" spans="1:13">
      <c r="A275" t="s">
        <v>325</v>
      </c>
      <c r="B275" s="1">
        <v>45817</v>
      </c>
      <c r="C275" t="s">
        <v>44</v>
      </c>
      <c r="D275" t="s">
        <v>45</v>
      </c>
      <c r="E275" t="s">
        <v>20</v>
      </c>
      <c r="F275" t="s">
        <v>42</v>
      </c>
      <c r="G275" t="s">
        <v>2</v>
      </c>
      <c r="H275">
        <v>1</v>
      </c>
      <c r="I275" s="3">
        <v>59</v>
      </c>
      <c r="J275" s="4">
        <v>0</v>
      </c>
      <c r="K275" s="5">
        <v>59</v>
      </c>
      <c r="L275" t="s">
        <v>51</v>
      </c>
      <c r="M275">
        <v>5</v>
      </c>
    </row>
    <row r="276" spans="1:13">
      <c r="A276" t="s">
        <v>326</v>
      </c>
      <c r="B276" s="1">
        <v>45818</v>
      </c>
      <c r="C276" t="s">
        <v>34</v>
      </c>
      <c r="D276" t="s">
        <v>35</v>
      </c>
      <c r="E276" t="s">
        <v>48</v>
      </c>
      <c r="F276" t="s">
        <v>65</v>
      </c>
      <c r="G276" t="s">
        <v>2</v>
      </c>
      <c r="H276">
        <v>1</v>
      </c>
      <c r="I276" s="3">
        <v>2590</v>
      </c>
      <c r="J276" s="4">
        <v>0.1</v>
      </c>
      <c r="K276" s="5">
        <v>2331</v>
      </c>
      <c r="L276" t="s">
        <v>38</v>
      </c>
      <c r="M276">
        <v>5</v>
      </c>
    </row>
    <row r="277" spans="1:13">
      <c r="A277" t="s">
        <v>327</v>
      </c>
      <c r="B277" s="1">
        <v>45819</v>
      </c>
      <c r="C277" t="s">
        <v>14</v>
      </c>
      <c r="D277" t="s">
        <v>15</v>
      </c>
      <c r="E277" t="s">
        <v>20</v>
      </c>
      <c r="F277" t="s">
        <v>75</v>
      </c>
      <c r="G277" t="s">
        <v>22</v>
      </c>
      <c r="H277">
        <v>4</v>
      </c>
      <c r="I277" s="3">
        <v>45</v>
      </c>
      <c r="J277" s="4">
        <v>0</v>
      </c>
      <c r="K277" s="5">
        <v>180</v>
      </c>
      <c r="L277" t="s">
        <v>23</v>
      </c>
      <c r="M277">
        <v>5</v>
      </c>
    </row>
    <row r="278" spans="1:13">
      <c r="A278" t="s">
        <v>328</v>
      </c>
      <c r="B278" s="1">
        <v>45819</v>
      </c>
      <c r="C278" t="s">
        <v>54</v>
      </c>
      <c r="D278" t="s">
        <v>35</v>
      </c>
      <c r="E278" t="s">
        <v>26</v>
      </c>
      <c r="F278" t="s">
        <v>60</v>
      </c>
      <c r="G278" t="s">
        <v>22</v>
      </c>
      <c r="H278">
        <v>1</v>
      </c>
      <c r="I278" s="3">
        <v>1890</v>
      </c>
      <c r="J278" s="4">
        <v>0.15</v>
      </c>
      <c r="K278" s="5">
        <v>1606.5</v>
      </c>
      <c r="L278" t="s">
        <v>23</v>
      </c>
      <c r="M278">
        <v>5</v>
      </c>
    </row>
    <row r="279" spans="1:13">
      <c r="A279" t="s">
        <v>329</v>
      </c>
      <c r="B279" s="1">
        <v>45822</v>
      </c>
      <c r="C279" t="s">
        <v>25</v>
      </c>
      <c r="D279" t="s">
        <v>15</v>
      </c>
      <c r="E279" t="s">
        <v>62</v>
      </c>
      <c r="F279" t="s">
        <v>63</v>
      </c>
      <c r="G279" t="s">
        <v>22</v>
      </c>
      <c r="H279">
        <v>1</v>
      </c>
      <c r="I279" s="3">
        <v>2490</v>
      </c>
      <c r="J279" s="4">
        <v>0</v>
      </c>
      <c r="K279" s="5">
        <v>2490</v>
      </c>
      <c r="L279" t="s">
        <v>23</v>
      </c>
      <c r="M279">
        <v>3</v>
      </c>
    </row>
    <row r="280" spans="1:13">
      <c r="A280" t="s">
        <v>330</v>
      </c>
      <c r="B280" s="1">
        <v>45822</v>
      </c>
      <c r="C280" t="s">
        <v>31</v>
      </c>
      <c r="D280" t="s">
        <v>15</v>
      </c>
      <c r="E280" t="s">
        <v>16</v>
      </c>
      <c r="F280" t="s">
        <v>17</v>
      </c>
      <c r="G280" t="s">
        <v>2</v>
      </c>
      <c r="H280">
        <v>1</v>
      </c>
      <c r="I280" s="3">
        <v>19</v>
      </c>
      <c r="J280" s="4">
        <v>0</v>
      </c>
      <c r="K280" s="5">
        <v>19</v>
      </c>
      <c r="L280" t="s">
        <v>38</v>
      </c>
      <c r="M280">
        <v>4</v>
      </c>
    </row>
    <row r="281" spans="1:13">
      <c r="A281" t="s">
        <v>331</v>
      </c>
      <c r="B281" s="1">
        <v>45822</v>
      </c>
      <c r="C281" t="s">
        <v>25</v>
      </c>
      <c r="D281" t="s">
        <v>15</v>
      </c>
      <c r="E281" t="s">
        <v>48</v>
      </c>
      <c r="F281" t="s">
        <v>65</v>
      </c>
      <c r="G281" t="s">
        <v>22</v>
      </c>
      <c r="H281">
        <v>1</v>
      </c>
      <c r="I281" s="3">
        <v>2590</v>
      </c>
      <c r="J281" s="4">
        <v>0</v>
      </c>
      <c r="K281" s="5">
        <v>2590</v>
      </c>
      <c r="L281" t="s">
        <v>23</v>
      </c>
      <c r="M281">
        <v>5</v>
      </c>
    </row>
    <row r="282" spans="1:13">
      <c r="A282" t="s">
        <v>332</v>
      </c>
      <c r="B282" s="1">
        <v>45823</v>
      </c>
      <c r="C282" t="s">
        <v>31</v>
      </c>
      <c r="D282" t="s">
        <v>15</v>
      </c>
      <c r="E282" t="s">
        <v>20</v>
      </c>
      <c r="F282" t="s">
        <v>42</v>
      </c>
      <c r="G282" t="s">
        <v>37</v>
      </c>
      <c r="H282">
        <v>1</v>
      </c>
      <c r="I282" s="3">
        <v>59</v>
      </c>
      <c r="J282" s="4">
        <v>0.15</v>
      </c>
      <c r="K282" s="5">
        <v>50.15</v>
      </c>
      <c r="L282" t="s">
        <v>51</v>
      </c>
      <c r="M282">
        <v>4</v>
      </c>
    </row>
    <row r="283" spans="1:13">
      <c r="A283" t="s">
        <v>333</v>
      </c>
      <c r="B283" s="1">
        <v>45824</v>
      </c>
      <c r="C283" t="s">
        <v>54</v>
      </c>
      <c r="D283" t="s">
        <v>35</v>
      </c>
      <c r="E283" t="s">
        <v>62</v>
      </c>
      <c r="F283" t="s">
        <v>63</v>
      </c>
      <c r="G283" t="s">
        <v>2</v>
      </c>
      <c r="H283">
        <v>1</v>
      </c>
      <c r="I283" s="3">
        <v>2490</v>
      </c>
      <c r="J283" s="4">
        <v>0.1</v>
      </c>
      <c r="K283" s="5">
        <v>2241</v>
      </c>
      <c r="L283" t="s">
        <v>23</v>
      </c>
      <c r="M283">
        <v>2</v>
      </c>
    </row>
    <row r="284" spans="1:13">
      <c r="A284" t="s">
        <v>334</v>
      </c>
      <c r="B284" s="1">
        <v>45824</v>
      </c>
      <c r="C284" t="s">
        <v>14</v>
      </c>
      <c r="D284" t="s">
        <v>15</v>
      </c>
      <c r="E284" t="s">
        <v>48</v>
      </c>
      <c r="F284" t="s">
        <v>49</v>
      </c>
      <c r="G284" t="s">
        <v>37</v>
      </c>
      <c r="H284">
        <v>1</v>
      </c>
      <c r="I284" s="3">
        <v>3990</v>
      </c>
      <c r="J284" s="4">
        <v>0.2</v>
      </c>
      <c r="K284" s="5">
        <v>3192</v>
      </c>
      <c r="L284" t="s">
        <v>23</v>
      </c>
      <c r="M284">
        <v>5</v>
      </c>
    </row>
    <row r="285" spans="1:13">
      <c r="A285" t="s">
        <v>335</v>
      </c>
      <c r="B285" s="1">
        <v>45824</v>
      </c>
      <c r="C285" t="s">
        <v>25</v>
      </c>
      <c r="D285" t="s">
        <v>15</v>
      </c>
      <c r="E285" t="s">
        <v>20</v>
      </c>
      <c r="F285" t="s">
        <v>55</v>
      </c>
      <c r="G285" t="s">
        <v>2</v>
      </c>
      <c r="H285">
        <v>1</v>
      </c>
      <c r="I285" s="3">
        <v>35</v>
      </c>
      <c r="J285" s="4">
        <v>0</v>
      </c>
      <c r="K285" s="5">
        <v>35</v>
      </c>
      <c r="L285" t="s">
        <v>23</v>
      </c>
      <c r="M285">
        <v>4</v>
      </c>
    </row>
    <row r="286" spans="1:13">
      <c r="A286" t="s">
        <v>336</v>
      </c>
      <c r="B286" s="1">
        <v>45824</v>
      </c>
      <c r="C286" t="s">
        <v>44</v>
      </c>
      <c r="D286" t="s">
        <v>45</v>
      </c>
      <c r="E286" t="s">
        <v>20</v>
      </c>
      <c r="F286" t="s">
        <v>42</v>
      </c>
      <c r="G286" t="s">
        <v>2</v>
      </c>
      <c r="H286">
        <v>2</v>
      </c>
      <c r="I286" s="3">
        <v>59</v>
      </c>
      <c r="J286" s="4">
        <v>0</v>
      </c>
      <c r="K286" s="5">
        <v>118</v>
      </c>
      <c r="L286" t="s">
        <v>51</v>
      </c>
      <c r="M286">
        <v>5</v>
      </c>
    </row>
    <row r="287" spans="1:13">
      <c r="A287" t="s">
        <v>337</v>
      </c>
      <c r="B287" s="1">
        <v>45825</v>
      </c>
      <c r="C287" t="s">
        <v>57</v>
      </c>
      <c r="D287" t="s">
        <v>15</v>
      </c>
      <c r="E287" t="s">
        <v>26</v>
      </c>
      <c r="F287" t="s">
        <v>27</v>
      </c>
      <c r="G287" t="s">
        <v>22</v>
      </c>
      <c r="H287">
        <v>1</v>
      </c>
      <c r="I287" s="3">
        <v>699</v>
      </c>
      <c r="J287" s="4">
        <v>0.15</v>
      </c>
      <c r="K287" s="5">
        <v>594.15</v>
      </c>
      <c r="L287" t="s">
        <v>23</v>
      </c>
      <c r="M287">
        <v>4</v>
      </c>
    </row>
    <row r="288" spans="1:13">
      <c r="A288" t="s">
        <v>338</v>
      </c>
      <c r="B288" s="1">
        <v>45825</v>
      </c>
      <c r="C288" t="s">
        <v>34</v>
      </c>
      <c r="D288" t="s">
        <v>35</v>
      </c>
      <c r="E288" t="s">
        <v>26</v>
      </c>
      <c r="F288" t="s">
        <v>60</v>
      </c>
      <c r="G288" t="s">
        <v>2</v>
      </c>
      <c r="H288">
        <v>1</v>
      </c>
      <c r="I288" s="3">
        <v>1890</v>
      </c>
      <c r="J288" s="4">
        <v>0</v>
      </c>
      <c r="K288" s="5">
        <v>1890</v>
      </c>
      <c r="L288" t="s">
        <v>23</v>
      </c>
      <c r="M288">
        <v>5</v>
      </c>
    </row>
    <row r="289" spans="1:13">
      <c r="A289" t="s">
        <v>339</v>
      </c>
      <c r="B289" s="1">
        <v>45826</v>
      </c>
      <c r="C289" t="s">
        <v>57</v>
      </c>
      <c r="D289" t="s">
        <v>15</v>
      </c>
      <c r="E289" t="s">
        <v>16</v>
      </c>
      <c r="F289" t="s">
        <v>17</v>
      </c>
      <c r="G289" t="s">
        <v>2</v>
      </c>
      <c r="H289">
        <v>1</v>
      </c>
      <c r="I289" s="3">
        <v>19</v>
      </c>
      <c r="J289" s="4">
        <v>0.1</v>
      </c>
      <c r="K289" s="5">
        <v>17.100000000000001</v>
      </c>
      <c r="L289" t="s">
        <v>23</v>
      </c>
      <c r="M289">
        <v>5</v>
      </c>
    </row>
    <row r="290" spans="1:13">
      <c r="A290" t="s">
        <v>340</v>
      </c>
      <c r="B290" s="1">
        <v>45826</v>
      </c>
      <c r="C290" t="s">
        <v>40</v>
      </c>
      <c r="D290" t="s">
        <v>41</v>
      </c>
      <c r="E290" t="s">
        <v>26</v>
      </c>
      <c r="F290" t="s">
        <v>29</v>
      </c>
      <c r="G290" t="s">
        <v>2</v>
      </c>
      <c r="H290">
        <v>1</v>
      </c>
      <c r="I290" s="3">
        <v>549</v>
      </c>
      <c r="J290" s="4">
        <v>0</v>
      </c>
      <c r="K290" s="5">
        <v>549</v>
      </c>
      <c r="L290" t="s">
        <v>23</v>
      </c>
      <c r="M290">
        <v>4</v>
      </c>
    </row>
    <row r="291" spans="1:13">
      <c r="A291" t="s">
        <v>341</v>
      </c>
      <c r="B291" s="1">
        <v>45827</v>
      </c>
      <c r="C291" t="s">
        <v>14</v>
      </c>
      <c r="D291" t="s">
        <v>15</v>
      </c>
      <c r="E291" t="s">
        <v>62</v>
      </c>
      <c r="F291" t="s">
        <v>100</v>
      </c>
      <c r="G291" t="s">
        <v>37</v>
      </c>
      <c r="H291">
        <v>1</v>
      </c>
      <c r="I291" s="3">
        <v>1190</v>
      </c>
      <c r="J291" s="4">
        <v>0</v>
      </c>
      <c r="K291" s="5">
        <v>1190</v>
      </c>
      <c r="L291" t="s">
        <v>23</v>
      </c>
      <c r="M291">
        <v>4</v>
      </c>
    </row>
    <row r="292" spans="1:13">
      <c r="A292" t="s">
        <v>342</v>
      </c>
      <c r="B292" s="1">
        <v>45827</v>
      </c>
      <c r="C292" t="s">
        <v>31</v>
      </c>
      <c r="D292" t="s">
        <v>15</v>
      </c>
      <c r="E292" t="s">
        <v>62</v>
      </c>
      <c r="F292" t="s">
        <v>100</v>
      </c>
      <c r="G292" t="s">
        <v>22</v>
      </c>
      <c r="H292">
        <v>1</v>
      </c>
      <c r="I292" s="3">
        <v>1190</v>
      </c>
      <c r="J292" s="4">
        <v>0.15</v>
      </c>
      <c r="K292" s="5">
        <v>1011.5</v>
      </c>
      <c r="L292" t="s">
        <v>38</v>
      </c>
      <c r="M292">
        <v>4</v>
      </c>
    </row>
    <row r="293" spans="1:13">
      <c r="A293" t="s">
        <v>343</v>
      </c>
      <c r="B293" s="1">
        <v>45828</v>
      </c>
      <c r="C293" t="s">
        <v>25</v>
      </c>
      <c r="D293" t="s">
        <v>15</v>
      </c>
      <c r="E293" t="s">
        <v>20</v>
      </c>
      <c r="F293" t="s">
        <v>21</v>
      </c>
      <c r="G293" t="s">
        <v>22</v>
      </c>
      <c r="H293">
        <v>1</v>
      </c>
      <c r="I293" s="3">
        <v>69</v>
      </c>
      <c r="J293" s="4">
        <v>0</v>
      </c>
      <c r="K293" s="5">
        <v>69</v>
      </c>
      <c r="L293" t="s">
        <v>38</v>
      </c>
      <c r="M293">
        <v>1</v>
      </c>
    </row>
    <row r="294" spans="1:13">
      <c r="A294" t="s">
        <v>344</v>
      </c>
      <c r="B294" s="1">
        <v>45829</v>
      </c>
      <c r="C294" t="s">
        <v>25</v>
      </c>
      <c r="D294" t="s">
        <v>15</v>
      </c>
      <c r="E294" t="s">
        <v>20</v>
      </c>
      <c r="F294" t="s">
        <v>42</v>
      </c>
      <c r="G294" t="s">
        <v>22</v>
      </c>
      <c r="H294">
        <v>3</v>
      </c>
      <c r="I294" s="3">
        <v>59</v>
      </c>
      <c r="J294" s="4">
        <v>0.05</v>
      </c>
      <c r="K294" s="5">
        <v>168.15</v>
      </c>
      <c r="L294" t="s">
        <v>23</v>
      </c>
      <c r="M294">
        <v>4</v>
      </c>
    </row>
    <row r="295" spans="1:13">
      <c r="A295" t="s">
        <v>345</v>
      </c>
      <c r="B295" s="1">
        <v>45829</v>
      </c>
      <c r="C295" t="s">
        <v>57</v>
      </c>
      <c r="D295" t="s">
        <v>15</v>
      </c>
      <c r="E295" t="s">
        <v>16</v>
      </c>
      <c r="F295" t="s">
        <v>32</v>
      </c>
      <c r="G295" t="s">
        <v>2</v>
      </c>
      <c r="H295">
        <v>2</v>
      </c>
      <c r="I295" s="3">
        <v>89</v>
      </c>
      <c r="J295" s="4">
        <v>0.05</v>
      </c>
      <c r="K295" s="5">
        <v>169.1</v>
      </c>
      <c r="L295" t="s">
        <v>38</v>
      </c>
    </row>
    <row r="296" spans="1:13">
      <c r="A296" t="s">
        <v>346</v>
      </c>
      <c r="B296" s="1">
        <v>45829</v>
      </c>
      <c r="C296" t="s">
        <v>31</v>
      </c>
      <c r="D296" t="s">
        <v>15</v>
      </c>
      <c r="E296" t="s">
        <v>20</v>
      </c>
      <c r="F296" t="s">
        <v>42</v>
      </c>
      <c r="G296" t="s">
        <v>22</v>
      </c>
      <c r="H296">
        <v>2</v>
      </c>
      <c r="I296" s="3">
        <v>59</v>
      </c>
      <c r="J296" s="4">
        <v>0.2</v>
      </c>
      <c r="K296" s="5">
        <v>94.4</v>
      </c>
      <c r="L296" t="s">
        <v>51</v>
      </c>
      <c r="M296">
        <v>4</v>
      </c>
    </row>
    <row r="297" spans="1:13">
      <c r="A297" t="s">
        <v>347</v>
      </c>
      <c r="B297" s="1">
        <v>45831</v>
      </c>
      <c r="C297" t="s">
        <v>31</v>
      </c>
      <c r="D297" t="s">
        <v>15</v>
      </c>
      <c r="E297" t="s">
        <v>20</v>
      </c>
      <c r="F297" t="s">
        <v>55</v>
      </c>
      <c r="G297" t="s">
        <v>2</v>
      </c>
      <c r="H297">
        <v>1</v>
      </c>
      <c r="I297" s="3">
        <v>35</v>
      </c>
      <c r="J297" s="4">
        <v>0.05</v>
      </c>
      <c r="K297" s="5">
        <v>33.25</v>
      </c>
      <c r="L297" t="s">
        <v>23</v>
      </c>
    </row>
    <row r="298" spans="1:13">
      <c r="A298" t="s">
        <v>348</v>
      </c>
      <c r="B298" s="1">
        <v>45831</v>
      </c>
      <c r="C298" t="s">
        <v>34</v>
      </c>
      <c r="D298" t="s">
        <v>35</v>
      </c>
      <c r="E298" t="s">
        <v>62</v>
      </c>
      <c r="F298" t="s">
        <v>77</v>
      </c>
      <c r="G298" t="s">
        <v>22</v>
      </c>
      <c r="H298">
        <v>2</v>
      </c>
      <c r="I298" s="3">
        <v>899</v>
      </c>
      <c r="J298" s="4">
        <v>0.1</v>
      </c>
      <c r="K298" s="5">
        <v>1618.2</v>
      </c>
      <c r="L298" t="s">
        <v>51</v>
      </c>
      <c r="M298">
        <v>3</v>
      </c>
    </row>
    <row r="299" spans="1:13">
      <c r="A299" t="s">
        <v>349</v>
      </c>
      <c r="B299" s="1">
        <v>45832</v>
      </c>
      <c r="C299" t="s">
        <v>34</v>
      </c>
      <c r="D299" t="s">
        <v>35</v>
      </c>
      <c r="E299" t="s">
        <v>48</v>
      </c>
      <c r="F299" t="s">
        <v>49</v>
      </c>
      <c r="G299" t="s">
        <v>2</v>
      </c>
      <c r="H299">
        <v>1</v>
      </c>
      <c r="I299" s="3">
        <v>3990</v>
      </c>
      <c r="J299" s="4">
        <v>0</v>
      </c>
      <c r="K299" s="5">
        <v>3990</v>
      </c>
      <c r="L299" t="s">
        <v>51</v>
      </c>
      <c r="M299">
        <v>2</v>
      </c>
    </row>
    <row r="300" spans="1:13">
      <c r="A300" t="s">
        <v>350</v>
      </c>
      <c r="B300" s="1">
        <v>45833</v>
      </c>
      <c r="C300" t="s">
        <v>44</v>
      </c>
      <c r="D300" t="s">
        <v>45</v>
      </c>
      <c r="E300" t="s">
        <v>20</v>
      </c>
      <c r="F300" t="s">
        <v>42</v>
      </c>
      <c r="G300" t="s">
        <v>2</v>
      </c>
      <c r="H300">
        <v>1</v>
      </c>
      <c r="I300" s="3">
        <v>59</v>
      </c>
      <c r="J300" s="4">
        <v>0.1</v>
      </c>
      <c r="K300" s="5">
        <v>53.1</v>
      </c>
      <c r="L300" t="s">
        <v>23</v>
      </c>
      <c r="M300">
        <v>5</v>
      </c>
    </row>
    <row r="301" spans="1:13">
      <c r="A301" t="s">
        <v>351</v>
      </c>
      <c r="B301" s="1">
        <v>45836</v>
      </c>
      <c r="C301" t="s">
        <v>54</v>
      </c>
      <c r="D301" t="s">
        <v>35</v>
      </c>
      <c r="E301" t="s">
        <v>48</v>
      </c>
      <c r="F301" t="s">
        <v>65</v>
      </c>
      <c r="G301" t="s">
        <v>37</v>
      </c>
      <c r="H301">
        <v>1</v>
      </c>
      <c r="I301" s="3">
        <v>2590</v>
      </c>
      <c r="J301" s="4">
        <v>0.15</v>
      </c>
      <c r="K301" s="5">
        <v>2201.5</v>
      </c>
      <c r="L301" t="s">
        <v>23</v>
      </c>
      <c r="M301">
        <v>3</v>
      </c>
    </row>
    <row r="302" spans="1:13">
      <c r="A302" t="s">
        <v>352</v>
      </c>
      <c r="B302" s="1">
        <v>45837</v>
      </c>
      <c r="C302" t="s">
        <v>44</v>
      </c>
      <c r="D302" t="s">
        <v>45</v>
      </c>
      <c r="E302" t="s">
        <v>16</v>
      </c>
      <c r="F302" t="s">
        <v>32</v>
      </c>
      <c r="G302" t="s">
        <v>2</v>
      </c>
      <c r="H302">
        <v>1</v>
      </c>
      <c r="I302" s="3">
        <v>89</v>
      </c>
      <c r="J302" s="4">
        <v>0.1</v>
      </c>
      <c r="K302" s="5">
        <v>80.099999999999994</v>
      </c>
      <c r="L302" t="s">
        <v>18</v>
      </c>
    </row>
    <row r="303" spans="1:13">
      <c r="A303" t="s">
        <v>353</v>
      </c>
      <c r="B303" s="1">
        <v>45838</v>
      </c>
      <c r="C303" t="s">
        <v>14</v>
      </c>
      <c r="D303" t="s">
        <v>15</v>
      </c>
      <c r="E303" t="s">
        <v>20</v>
      </c>
      <c r="F303" t="s">
        <v>21</v>
      </c>
      <c r="G303" t="s">
        <v>2</v>
      </c>
      <c r="H303">
        <v>1</v>
      </c>
      <c r="I303" s="3">
        <v>69</v>
      </c>
      <c r="J303" s="4">
        <v>0</v>
      </c>
      <c r="K303" s="5">
        <v>69</v>
      </c>
      <c r="L303" t="s">
        <v>18</v>
      </c>
      <c r="M303">
        <v>4</v>
      </c>
    </row>
    <row r="304" spans="1:13">
      <c r="A304" t="s">
        <v>354</v>
      </c>
      <c r="B304" s="1">
        <v>45838</v>
      </c>
      <c r="C304" t="s">
        <v>31</v>
      </c>
      <c r="D304" t="s">
        <v>15</v>
      </c>
      <c r="E304" t="s">
        <v>20</v>
      </c>
      <c r="F304" t="s">
        <v>75</v>
      </c>
      <c r="G304" t="s">
        <v>22</v>
      </c>
      <c r="H304">
        <v>1</v>
      </c>
      <c r="I304" s="3">
        <v>45</v>
      </c>
      <c r="J304" s="4">
        <v>0</v>
      </c>
      <c r="K304" s="5">
        <v>45</v>
      </c>
      <c r="L304" t="s">
        <v>23</v>
      </c>
      <c r="M304">
        <v>4</v>
      </c>
    </row>
    <row r="305" spans="1:13">
      <c r="A305" t="s">
        <v>355</v>
      </c>
      <c r="B305" s="1">
        <v>45840</v>
      </c>
      <c r="C305" t="s">
        <v>40</v>
      </c>
      <c r="D305" t="s">
        <v>41</v>
      </c>
      <c r="E305" t="s">
        <v>62</v>
      </c>
      <c r="F305" t="s">
        <v>77</v>
      </c>
      <c r="G305" t="s">
        <v>22</v>
      </c>
      <c r="H305">
        <v>1</v>
      </c>
      <c r="I305" s="3">
        <v>899</v>
      </c>
      <c r="J305" s="4">
        <v>0</v>
      </c>
      <c r="K305" s="5">
        <v>899</v>
      </c>
      <c r="L305" t="s">
        <v>23</v>
      </c>
      <c r="M305">
        <v>4</v>
      </c>
    </row>
    <row r="306" spans="1:13">
      <c r="A306" t="s">
        <v>356</v>
      </c>
      <c r="B306" s="1">
        <v>45841</v>
      </c>
      <c r="C306" t="s">
        <v>54</v>
      </c>
      <c r="D306" t="s">
        <v>35</v>
      </c>
      <c r="E306" t="s">
        <v>26</v>
      </c>
      <c r="F306" t="s">
        <v>27</v>
      </c>
      <c r="G306" t="s">
        <v>37</v>
      </c>
      <c r="H306">
        <v>1</v>
      </c>
      <c r="I306" s="3">
        <v>699</v>
      </c>
      <c r="J306" s="4">
        <v>0</v>
      </c>
      <c r="K306" s="5">
        <v>699</v>
      </c>
      <c r="L306" t="s">
        <v>23</v>
      </c>
      <c r="M306">
        <v>4</v>
      </c>
    </row>
    <row r="307" spans="1:13">
      <c r="A307" t="s">
        <v>357</v>
      </c>
      <c r="B307" s="1">
        <v>45841</v>
      </c>
      <c r="C307" t="s">
        <v>40</v>
      </c>
      <c r="D307" t="s">
        <v>41</v>
      </c>
      <c r="E307" t="s">
        <v>20</v>
      </c>
      <c r="F307" t="s">
        <v>55</v>
      </c>
      <c r="G307" t="s">
        <v>2</v>
      </c>
      <c r="H307">
        <v>1</v>
      </c>
      <c r="I307" s="3">
        <v>35</v>
      </c>
      <c r="J307" s="4">
        <v>0</v>
      </c>
      <c r="K307" s="5">
        <v>35</v>
      </c>
      <c r="L307" t="s">
        <v>38</v>
      </c>
    </row>
    <row r="308" spans="1:13">
      <c r="A308" t="s">
        <v>358</v>
      </c>
      <c r="B308" s="1">
        <v>45842</v>
      </c>
      <c r="C308" t="s">
        <v>25</v>
      </c>
      <c r="D308" t="s">
        <v>15</v>
      </c>
      <c r="E308" t="s">
        <v>26</v>
      </c>
      <c r="F308" t="s">
        <v>60</v>
      </c>
      <c r="G308" t="s">
        <v>2</v>
      </c>
      <c r="H308">
        <v>1</v>
      </c>
      <c r="I308" s="3">
        <v>1890</v>
      </c>
      <c r="J308" s="4">
        <v>0</v>
      </c>
      <c r="K308" s="5">
        <v>1890</v>
      </c>
      <c r="L308" t="s">
        <v>23</v>
      </c>
    </row>
    <row r="309" spans="1:13">
      <c r="A309" t="s">
        <v>359</v>
      </c>
      <c r="B309" s="1">
        <v>45842</v>
      </c>
      <c r="C309" t="s">
        <v>34</v>
      </c>
      <c r="D309" t="s">
        <v>35</v>
      </c>
      <c r="E309" t="s">
        <v>48</v>
      </c>
      <c r="F309" t="s">
        <v>49</v>
      </c>
      <c r="G309" t="s">
        <v>2</v>
      </c>
      <c r="H309">
        <v>1</v>
      </c>
      <c r="I309" s="3">
        <v>3990</v>
      </c>
      <c r="J309" s="4">
        <v>0.2</v>
      </c>
      <c r="K309" s="5">
        <v>3192</v>
      </c>
      <c r="L309" t="s">
        <v>51</v>
      </c>
      <c r="M309">
        <v>4</v>
      </c>
    </row>
    <row r="310" spans="1:13">
      <c r="A310" t="s">
        <v>360</v>
      </c>
      <c r="B310" s="1">
        <v>45842</v>
      </c>
      <c r="C310" t="s">
        <v>57</v>
      </c>
      <c r="D310" t="s">
        <v>15</v>
      </c>
      <c r="E310" t="s">
        <v>20</v>
      </c>
      <c r="F310" t="s">
        <v>42</v>
      </c>
      <c r="G310" t="s">
        <v>22</v>
      </c>
      <c r="H310">
        <v>1</v>
      </c>
      <c r="I310" s="3">
        <v>59</v>
      </c>
      <c r="J310" s="4">
        <v>0.05</v>
      </c>
      <c r="K310" s="5">
        <v>56.05</v>
      </c>
      <c r="L310" t="s">
        <v>51</v>
      </c>
      <c r="M310">
        <v>1</v>
      </c>
    </row>
    <row r="311" spans="1:13">
      <c r="A311" t="s">
        <v>361</v>
      </c>
      <c r="B311" s="1">
        <v>45843</v>
      </c>
      <c r="C311" t="s">
        <v>31</v>
      </c>
      <c r="D311" t="s">
        <v>15</v>
      </c>
      <c r="E311" t="s">
        <v>16</v>
      </c>
      <c r="F311" t="s">
        <v>32</v>
      </c>
      <c r="G311" t="s">
        <v>2</v>
      </c>
      <c r="H311">
        <v>1</v>
      </c>
      <c r="I311" s="3">
        <v>89</v>
      </c>
      <c r="J311" s="4">
        <v>0.15</v>
      </c>
      <c r="K311" s="5">
        <v>75.650000000000006</v>
      </c>
      <c r="L311" t="s">
        <v>23</v>
      </c>
      <c r="M311">
        <v>4</v>
      </c>
    </row>
    <row r="312" spans="1:13">
      <c r="A312" t="s">
        <v>362</v>
      </c>
      <c r="B312" s="1">
        <v>45843</v>
      </c>
      <c r="C312" t="s">
        <v>57</v>
      </c>
      <c r="D312" t="s">
        <v>15</v>
      </c>
      <c r="E312" t="s">
        <v>16</v>
      </c>
      <c r="F312" t="s">
        <v>46</v>
      </c>
      <c r="G312" t="s">
        <v>2</v>
      </c>
      <c r="H312">
        <v>1</v>
      </c>
      <c r="I312" s="3">
        <v>29</v>
      </c>
      <c r="J312" s="4">
        <v>0.05</v>
      </c>
      <c r="K312" s="5">
        <v>27.55</v>
      </c>
      <c r="L312" t="s">
        <v>18</v>
      </c>
      <c r="M312">
        <v>4</v>
      </c>
    </row>
    <row r="313" spans="1:13">
      <c r="A313" t="s">
        <v>363</v>
      </c>
      <c r="B313" s="1">
        <v>45845</v>
      </c>
      <c r="C313" t="s">
        <v>34</v>
      </c>
      <c r="D313" t="s">
        <v>35</v>
      </c>
      <c r="E313" t="s">
        <v>20</v>
      </c>
      <c r="F313" t="s">
        <v>55</v>
      </c>
      <c r="G313" t="s">
        <v>2</v>
      </c>
      <c r="H313">
        <v>3</v>
      </c>
      <c r="I313" s="3">
        <v>35</v>
      </c>
      <c r="J313" s="4">
        <v>0</v>
      </c>
      <c r="K313" s="5">
        <v>105</v>
      </c>
      <c r="L313" t="s">
        <v>23</v>
      </c>
      <c r="M313">
        <v>4</v>
      </c>
    </row>
    <row r="314" spans="1:13">
      <c r="A314" t="s">
        <v>364</v>
      </c>
      <c r="B314" s="1">
        <v>45845</v>
      </c>
      <c r="C314" t="s">
        <v>40</v>
      </c>
      <c r="D314" t="s">
        <v>41</v>
      </c>
      <c r="E314" t="s">
        <v>20</v>
      </c>
      <c r="F314" t="s">
        <v>55</v>
      </c>
      <c r="G314" t="s">
        <v>37</v>
      </c>
      <c r="H314">
        <v>2</v>
      </c>
      <c r="I314" s="3">
        <v>35</v>
      </c>
      <c r="J314" s="4">
        <v>0.2</v>
      </c>
      <c r="K314" s="5">
        <v>56</v>
      </c>
      <c r="L314" t="s">
        <v>51</v>
      </c>
      <c r="M314">
        <v>5</v>
      </c>
    </row>
    <row r="315" spans="1:13">
      <c r="A315" t="s">
        <v>365</v>
      </c>
      <c r="B315" s="1">
        <v>45845</v>
      </c>
      <c r="C315" t="s">
        <v>40</v>
      </c>
      <c r="D315" t="s">
        <v>41</v>
      </c>
      <c r="E315" t="s">
        <v>26</v>
      </c>
      <c r="F315" t="s">
        <v>29</v>
      </c>
      <c r="G315" t="s">
        <v>2</v>
      </c>
      <c r="H315">
        <v>1</v>
      </c>
      <c r="I315" s="3">
        <v>549</v>
      </c>
      <c r="J315" s="4">
        <v>0</v>
      </c>
      <c r="K315" s="5">
        <v>549</v>
      </c>
      <c r="L315" t="s">
        <v>18</v>
      </c>
    </row>
    <row r="316" spans="1:13">
      <c r="A316" t="s">
        <v>366</v>
      </c>
      <c r="B316" s="1">
        <v>45845</v>
      </c>
      <c r="C316" t="s">
        <v>44</v>
      </c>
      <c r="D316" t="s">
        <v>45</v>
      </c>
      <c r="E316" t="s">
        <v>20</v>
      </c>
      <c r="F316" t="s">
        <v>55</v>
      </c>
      <c r="G316" t="s">
        <v>22</v>
      </c>
      <c r="H316">
        <v>1</v>
      </c>
      <c r="I316" s="3">
        <v>35</v>
      </c>
      <c r="J316" s="4">
        <v>0</v>
      </c>
      <c r="K316" s="5">
        <v>35</v>
      </c>
      <c r="L316" t="s">
        <v>23</v>
      </c>
      <c r="M316">
        <v>5</v>
      </c>
    </row>
    <row r="317" spans="1:13">
      <c r="A317" t="s">
        <v>367</v>
      </c>
      <c r="B317" s="1">
        <v>45845</v>
      </c>
      <c r="C317" t="s">
        <v>34</v>
      </c>
      <c r="D317" t="s">
        <v>35</v>
      </c>
      <c r="E317" t="s">
        <v>16</v>
      </c>
      <c r="F317" t="s">
        <v>17</v>
      </c>
      <c r="G317" t="s">
        <v>2</v>
      </c>
      <c r="H317">
        <v>1</v>
      </c>
      <c r="I317" s="3">
        <v>19</v>
      </c>
      <c r="J317" s="4">
        <v>0</v>
      </c>
      <c r="K317" s="5">
        <v>19</v>
      </c>
      <c r="L317" t="s">
        <v>23</v>
      </c>
      <c r="M317">
        <v>5</v>
      </c>
    </row>
    <row r="318" spans="1:13">
      <c r="A318" t="s">
        <v>368</v>
      </c>
      <c r="B318" s="1">
        <v>45846</v>
      </c>
      <c r="C318" t="s">
        <v>34</v>
      </c>
      <c r="D318" t="s">
        <v>35</v>
      </c>
      <c r="E318" t="s">
        <v>20</v>
      </c>
      <c r="F318" t="s">
        <v>42</v>
      </c>
      <c r="G318" t="s">
        <v>2</v>
      </c>
      <c r="H318">
        <v>1</v>
      </c>
      <c r="I318" s="3">
        <v>59</v>
      </c>
      <c r="J318" s="4">
        <v>0</v>
      </c>
      <c r="K318" s="5">
        <v>59</v>
      </c>
      <c r="L318" t="s">
        <v>51</v>
      </c>
      <c r="M318">
        <v>5</v>
      </c>
    </row>
    <row r="319" spans="1:13">
      <c r="A319" t="s">
        <v>369</v>
      </c>
      <c r="B319" s="1">
        <v>45846</v>
      </c>
      <c r="C319" t="s">
        <v>14</v>
      </c>
      <c r="D319" t="s">
        <v>15</v>
      </c>
      <c r="E319" t="s">
        <v>62</v>
      </c>
      <c r="F319" t="s">
        <v>77</v>
      </c>
      <c r="G319" t="s">
        <v>22</v>
      </c>
      <c r="H319">
        <v>1</v>
      </c>
      <c r="I319" s="3">
        <v>899</v>
      </c>
      <c r="J319" s="4">
        <v>0.1</v>
      </c>
      <c r="K319" s="5">
        <v>809.1</v>
      </c>
      <c r="L319" t="s">
        <v>23</v>
      </c>
      <c r="M319">
        <v>5</v>
      </c>
    </row>
    <row r="320" spans="1:13">
      <c r="A320" t="s">
        <v>370</v>
      </c>
      <c r="B320" s="1">
        <v>45851</v>
      </c>
      <c r="C320" t="s">
        <v>14</v>
      </c>
      <c r="D320" t="s">
        <v>15</v>
      </c>
      <c r="E320" t="s">
        <v>16</v>
      </c>
      <c r="F320" t="s">
        <v>32</v>
      </c>
      <c r="G320" t="s">
        <v>2</v>
      </c>
      <c r="H320">
        <v>1</v>
      </c>
      <c r="I320" s="3">
        <v>89</v>
      </c>
      <c r="J320" s="4">
        <v>0</v>
      </c>
      <c r="K320" s="5">
        <v>89</v>
      </c>
      <c r="L320" t="s">
        <v>51</v>
      </c>
      <c r="M320">
        <v>5</v>
      </c>
    </row>
    <row r="321" spans="1:13">
      <c r="A321" t="s">
        <v>371</v>
      </c>
      <c r="B321" s="1">
        <v>45851</v>
      </c>
      <c r="C321" t="s">
        <v>54</v>
      </c>
      <c r="D321" t="s">
        <v>35</v>
      </c>
      <c r="E321" t="s">
        <v>16</v>
      </c>
      <c r="F321" t="s">
        <v>17</v>
      </c>
      <c r="G321" t="s">
        <v>2</v>
      </c>
      <c r="H321">
        <v>1</v>
      </c>
      <c r="I321" s="3">
        <v>19</v>
      </c>
      <c r="J321" s="4">
        <v>0.05</v>
      </c>
      <c r="K321" s="5">
        <v>18.05</v>
      </c>
      <c r="L321" t="s">
        <v>23</v>
      </c>
      <c r="M321">
        <v>3</v>
      </c>
    </row>
    <row r="322" spans="1:13">
      <c r="A322" t="s">
        <v>372</v>
      </c>
      <c r="B322" s="1">
        <v>45851</v>
      </c>
      <c r="C322" t="s">
        <v>57</v>
      </c>
      <c r="D322" t="s">
        <v>15</v>
      </c>
      <c r="E322" t="s">
        <v>20</v>
      </c>
      <c r="F322" t="s">
        <v>42</v>
      </c>
      <c r="G322" t="s">
        <v>22</v>
      </c>
      <c r="H322">
        <v>2</v>
      </c>
      <c r="I322" s="3">
        <v>59</v>
      </c>
      <c r="J322" s="4">
        <v>0.05</v>
      </c>
      <c r="K322" s="5">
        <v>112.1</v>
      </c>
      <c r="L322" t="s">
        <v>51</v>
      </c>
      <c r="M322">
        <v>5</v>
      </c>
    </row>
    <row r="323" spans="1:13">
      <c r="A323" t="s">
        <v>373</v>
      </c>
      <c r="B323" s="1">
        <v>45852</v>
      </c>
      <c r="C323" t="s">
        <v>54</v>
      </c>
      <c r="D323" t="s">
        <v>35</v>
      </c>
      <c r="E323" t="s">
        <v>16</v>
      </c>
      <c r="F323" t="s">
        <v>17</v>
      </c>
      <c r="G323" t="s">
        <v>2</v>
      </c>
      <c r="H323">
        <v>1</v>
      </c>
      <c r="I323" s="3">
        <v>19</v>
      </c>
      <c r="J323" s="4">
        <v>0</v>
      </c>
      <c r="K323" s="5">
        <v>19</v>
      </c>
      <c r="L323" t="s">
        <v>23</v>
      </c>
    </row>
    <row r="324" spans="1:13">
      <c r="A324" t="s">
        <v>374</v>
      </c>
      <c r="B324" s="1">
        <v>45852</v>
      </c>
      <c r="C324" t="s">
        <v>44</v>
      </c>
      <c r="D324" t="s">
        <v>45</v>
      </c>
      <c r="E324" t="s">
        <v>48</v>
      </c>
      <c r="F324" t="s">
        <v>49</v>
      </c>
      <c r="G324" t="s">
        <v>22</v>
      </c>
      <c r="H324">
        <v>1</v>
      </c>
      <c r="I324" s="3">
        <v>3990</v>
      </c>
      <c r="J324" s="4">
        <v>0</v>
      </c>
      <c r="K324" s="5">
        <v>3990</v>
      </c>
      <c r="L324" t="s">
        <v>23</v>
      </c>
      <c r="M324">
        <v>5</v>
      </c>
    </row>
    <row r="325" spans="1:13">
      <c r="A325" t="s">
        <v>375</v>
      </c>
      <c r="B325" s="1">
        <v>45853</v>
      </c>
      <c r="C325" t="s">
        <v>34</v>
      </c>
      <c r="D325" t="s">
        <v>35</v>
      </c>
      <c r="E325" t="s">
        <v>20</v>
      </c>
      <c r="F325" t="s">
        <v>42</v>
      </c>
      <c r="G325" t="s">
        <v>2</v>
      </c>
      <c r="H325">
        <v>1</v>
      </c>
      <c r="I325" s="3">
        <v>59</v>
      </c>
      <c r="J325" s="4">
        <v>0.1</v>
      </c>
      <c r="K325" s="5">
        <v>53.1</v>
      </c>
      <c r="L325" t="s">
        <v>18</v>
      </c>
      <c r="M325">
        <v>4</v>
      </c>
    </row>
    <row r="326" spans="1:13">
      <c r="A326" t="s">
        <v>376</v>
      </c>
      <c r="B326" s="1">
        <v>45853</v>
      </c>
      <c r="C326" t="s">
        <v>34</v>
      </c>
      <c r="D326" t="s">
        <v>35</v>
      </c>
      <c r="E326" t="s">
        <v>26</v>
      </c>
      <c r="F326" t="s">
        <v>27</v>
      </c>
      <c r="G326" t="s">
        <v>2</v>
      </c>
      <c r="H326">
        <v>1</v>
      </c>
      <c r="I326" s="3">
        <v>699</v>
      </c>
      <c r="J326" s="4">
        <v>0.2</v>
      </c>
      <c r="K326" s="5">
        <v>559.20000000000005</v>
      </c>
      <c r="L326" t="s">
        <v>23</v>
      </c>
      <c r="M326">
        <v>5</v>
      </c>
    </row>
    <row r="327" spans="1:13">
      <c r="A327" t="s">
        <v>377</v>
      </c>
      <c r="B327" s="1">
        <v>45854</v>
      </c>
      <c r="C327" t="s">
        <v>34</v>
      </c>
      <c r="D327" t="s">
        <v>35</v>
      </c>
      <c r="E327" t="s">
        <v>20</v>
      </c>
      <c r="F327" t="s">
        <v>55</v>
      </c>
      <c r="G327" t="s">
        <v>22</v>
      </c>
      <c r="H327">
        <v>1</v>
      </c>
      <c r="I327" s="3">
        <v>35</v>
      </c>
      <c r="J327" s="4">
        <v>0.05</v>
      </c>
      <c r="K327" s="5">
        <v>33.25</v>
      </c>
      <c r="L327" t="s">
        <v>23</v>
      </c>
      <c r="M327">
        <v>4</v>
      </c>
    </row>
    <row r="328" spans="1:13">
      <c r="A328" t="s">
        <v>378</v>
      </c>
      <c r="B328" s="1">
        <v>45855</v>
      </c>
      <c r="C328" t="s">
        <v>40</v>
      </c>
      <c r="D328" t="s">
        <v>41</v>
      </c>
      <c r="E328" t="s">
        <v>20</v>
      </c>
      <c r="F328" t="s">
        <v>55</v>
      </c>
      <c r="G328" t="s">
        <v>2</v>
      </c>
      <c r="H328">
        <v>3</v>
      </c>
      <c r="I328" s="3">
        <v>35</v>
      </c>
      <c r="J328" s="4">
        <v>0.15</v>
      </c>
      <c r="K328" s="5">
        <v>89.25</v>
      </c>
      <c r="L328" t="s">
        <v>23</v>
      </c>
      <c r="M328">
        <v>5</v>
      </c>
    </row>
    <row r="329" spans="1:13">
      <c r="A329" t="s">
        <v>379</v>
      </c>
      <c r="B329" s="1">
        <v>45856</v>
      </c>
      <c r="C329" t="s">
        <v>25</v>
      </c>
      <c r="D329" t="s">
        <v>15</v>
      </c>
      <c r="E329" t="s">
        <v>16</v>
      </c>
      <c r="F329" t="s">
        <v>17</v>
      </c>
      <c r="G329" t="s">
        <v>2</v>
      </c>
      <c r="H329">
        <v>1</v>
      </c>
      <c r="I329" s="3">
        <v>19</v>
      </c>
      <c r="J329" s="4">
        <v>0.1</v>
      </c>
      <c r="K329" s="5">
        <v>17.100000000000001</v>
      </c>
      <c r="L329" t="s">
        <v>38</v>
      </c>
      <c r="M329">
        <v>5</v>
      </c>
    </row>
    <row r="330" spans="1:13">
      <c r="A330" t="s">
        <v>380</v>
      </c>
      <c r="B330" s="1">
        <v>45856</v>
      </c>
      <c r="C330" t="s">
        <v>14</v>
      </c>
      <c r="D330" t="s">
        <v>15</v>
      </c>
      <c r="E330" t="s">
        <v>26</v>
      </c>
      <c r="F330" t="s">
        <v>27</v>
      </c>
      <c r="G330" t="s">
        <v>22</v>
      </c>
      <c r="H330">
        <v>1</v>
      </c>
      <c r="I330" s="3">
        <v>699</v>
      </c>
      <c r="J330" s="4">
        <v>0.15</v>
      </c>
      <c r="K330" s="5">
        <v>594.15</v>
      </c>
      <c r="L330" t="s">
        <v>38</v>
      </c>
      <c r="M330">
        <v>4</v>
      </c>
    </row>
    <row r="331" spans="1:13">
      <c r="A331" t="s">
        <v>381</v>
      </c>
      <c r="B331" s="1">
        <v>45857</v>
      </c>
      <c r="C331" t="s">
        <v>44</v>
      </c>
      <c r="D331" t="s">
        <v>45</v>
      </c>
      <c r="E331" t="s">
        <v>16</v>
      </c>
      <c r="F331" t="s">
        <v>17</v>
      </c>
      <c r="G331" t="s">
        <v>2</v>
      </c>
      <c r="H331">
        <v>1</v>
      </c>
      <c r="I331" s="3">
        <v>19</v>
      </c>
      <c r="J331" s="4">
        <v>0</v>
      </c>
      <c r="K331" s="5">
        <v>19</v>
      </c>
      <c r="L331" t="s">
        <v>38</v>
      </c>
      <c r="M331">
        <v>5</v>
      </c>
    </row>
    <row r="332" spans="1:13">
      <c r="A332" t="s">
        <v>382</v>
      </c>
      <c r="B332" s="1">
        <v>45857</v>
      </c>
      <c r="C332" t="s">
        <v>31</v>
      </c>
      <c r="D332" t="s">
        <v>15</v>
      </c>
      <c r="E332" t="s">
        <v>26</v>
      </c>
      <c r="F332" t="s">
        <v>29</v>
      </c>
      <c r="G332" t="s">
        <v>37</v>
      </c>
      <c r="H332">
        <v>1</v>
      </c>
      <c r="I332" s="3">
        <v>549</v>
      </c>
      <c r="J332" s="4">
        <v>0.2</v>
      </c>
      <c r="K332" s="5">
        <v>439.2</v>
      </c>
      <c r="L332" t="s">
        <v>23</v>
      </c>
      <c r="M332">
        <v>5</v>
      </c>
    </row>
    <row r="333" spans="1:13">
      <c r="A333" t="s">
        <v>383</v>
      </c>
      <c r="B333" s="1">
        <v>45858</v>
      </c>
      <c r="C333" t="s">
        <v>25</v>
      </c>
      <c r="D333" t="s">
        <v>15</v>
      </c>
      <c r="E333" t="s">
        <v>20</v>
      </c>
      <c r="F333" t="s">
        <v>55</v>
      </c>
      <c r="G333" t="s">
        <v>37</v>
      </c>
      <c r="H333">
        <v>4</v>
      </c>
      <c r="I333" s="3">
        <v>35</v>
      </c>
      <c r="J333" s="4">
        <v>0</v>
      </c>
      <c r="K333" s="5">
        <v>140</v>
      </c>
      <c r="L333" t="s">
        <v>23</v>
      </c>
      <c r="M333">
        <v>2</v>
      </c>
    </row>
    <row r="334" spans="1:13">
      <c r="A334" t="s">
        <v>384</v>
      </c>
      <c r="B334" s="1">
        <v>45858</v>
      </c>
      <c r="C334" t="s">
        <v>14</v>
      </c>
      <c r="D334" t="s">
        <v>15</v>
      </c>
      <c r="E334" t="s">
        <v>26</v>
      </c>
      <c r="F334" t="s">
        <v>29</v>
      </c>
      <c r="G334" t="s">
        <v>2</v>
      </c>
      <c r="H334">
        <v>1</v>
      </c>
      <c r="I334" s="3">
        <v>549</v>
      </c>
      <c r="J334" s="4">
        <v>0</v>
      </c>
      <c r="K334" s="5">
        <v>549</v>
      </c>
      <c r="L334" t="s">
        <v>23</v>
      </c>
      <c r="M334">
        <v>5</v>
      </c>
    </row>
    <row r="335" spans="1:13">
      <c r="A335" t="s">
        <v>385</v>
      </c>
      <c r="B335" s="1">
        <v>45858</v>
      </c>
      <c r="C335" t="s">
        <v>14</v>
      </c>
      <c r="D335" t="s">
        <v>15</v>
      </c>
      <c r="E335" t="s">
        <v>20</v>
      </c>
      <c r="F335" t="s">
        <v>42</v>
      </c>
      <c r="G335" t="s">
        <v>2</v>
      </c>
      <c r="H335">
        <v>1</v>
      </c>
      <c r="I335" s="3">
        <v>59</v>
      </c>
      <c r="J335" s="4">
        <v>0.05</v>
      </c>
      <c r="K335" s="5">
        <v>56.05</v>
      </c>
      <c r="L335" t="s">
        <v>23</v>
      </c>
      <c r="M335">
        <v>2</v>
      </c>
    </row>
    <row r="336" spans="1:13">
      <c r="A336" t="s">
        <v>386</v>
      </c>
      <c r="B336" s="1">
        <v>45861</v>
      </c>
      <c r="C336" t="s">
        <v>14</v>
      </c>
      <c r="D336" t="s">
        <v>15</v>
      </c>
      <c r="E336" t="s">
        <v>26</v>
      </c>
      <c r="F336" t="s">
        <v>29</v>
      </c>
      <c r="G336" t="s">
        <v>37</v>
      </c>
      <c r="H336">
        <v>1</v>
      </c>
      <c r="I336" s="3">
        <v>549</v>
      </c>
      <c r="J336" s="4">
        <v>0</v>
      </c>
      <c r="K336" s="5">
        <v>549</v>
      </c>
      <c r="L336" t="s">
        <v>23</v>
      </c>
      <c r="M336">
        <v>2</v>
      </c>
    </row>
    <row r="337" spans="1:13">
      <c r="A337" t="s">
        <v>387</v>
      </c>
      <c r="B337" s="1">
        <v>45861</v>
      </c>
      <c r="C337" t="s">
        <v>40</v>
      </c>
      <c r="D337" t="s">
        <v>41</v>
      </c>
      <c r="E337" t="s">
        <v>26</v>
      </c>
      <c r="F337" t="s">
        <v>60</v>
      </c>
      <c r="G337" t="s">
        <v>37</v>
      </c>
      <c r="H337">
        <v>1</v>
      </c>
      <c r="I337" s="3">
        <v>1890</v>
      </c>
      <c r="J337" s="4">
        <v>0.15</v>
      </c>
      <c r="K337" s="5">
        <v>1606.5</v>
      </c>
      <c r="L337" t="s">
        <v>38</v>
      </c>
      <c r="M337">
        <v>3</v>
      </c>
    </row>
    <row r="338" spans="1:13">
      <c r="A338" t="s">
        <v>388</v>
      </c>
      <c r="B338" s="1">
        <v>45861</v>
      </c>
      <c r="C338" t="s">
        <v>34</v>
      </c>
      <c r="D338" t="s">
        <v>35</v>
      </c>
      <c r="E338" t="s">
        <v>16</v>
      </c>
      <c r="F338" t="s">
        <v>17</v>
      </c>
      <c r="G338" t="s">
        <v>2</v>
      </c>
      <c r="H338">
        <v>100</v>
      </c>
      <c r="I338" s="3">
        <v>19</v>
      </c>
      <c r="J338" s="4">
        <v>0.05</v>
      </c>
      <c r="K338" s="5">
        <v>1805</v>
      </c>
      <c r="L338" t="s">
        <v>23</v>
      </c>
      <c r="M338">
        <v>5</v>
      </c>
    </row>
    <row r="339" spans="1:13">
      <c r="A339" t="s">
        <v>389</v>
      </c>
      <c r="B339" s="1">
        <v>45861</v>
      </c>
      <c r="C339" t="s">
        <v>40</v>
      </c>
      <c r="D339" t="s">
        <v>41</v>
      </c>
      <c r="E339" t="s">
        <v>26</v>
      </c>
      <c r="F339" t="s">
        <v>60</v>
      </c>
      <c r="G339" t="s">
        <v>2</v>
      </c>
      <c r="H339">
        <v>1</v>
      </c>
      <c r="I339" s="3">
        <v>1890</v>
      </c>
      <c r="J339" s="4">
        <v>0.05</v>
      </c>
      <c r="K339" s="5">
        <v>1795.5</v>
      </c>
      <c r="L339" t="s">
        <v>23</v>
      </c>
      <c r="M339">
        <v>5</v>
      </c>
    </row>
    <row r="340" spans="1:13">
      <c r="A340" t="s">
        <v>390</v>
      </c>
      <c r="B340" s="1">
        <v>45862</v>
      </c>
      <c r="C340" t="s">
        <v>40</v>
      </c>
      <c r="D340" t="s">
        <v>41</v>
      </c>
      <c r="E340" t="s">
        <v>62</v>
      </c>
      <c r="F340" t="s">
        <v>100</v>
      </c>
      <c r="G340" t="s">
        <v>2</v>
      </c>
      <c r="H340">
        <v>1</v>
      </c>
      <c r="I340" s="3">
        <v>1190</v>
      </c>
      <c r="J340" s="4">
        <v>0</v>
      </c>
      <c r="K340" s="5">
        <v>1190</v>
      </c>
      <c r="L340" t="s">
        <v>23</v>
      </c>
      <c r="M340">
        <v>4</v>
      </c>
    </row>
    <row r="341" spans="1:13">
      <c r="A341" t="s">
        <v>391</v>
      </c>
      <c r="B341" s="1">
        <v>45863</v>
      </c>
      <c r="C341" t="s">
        <v>14</v>
      </c>
      <c r="D341" t="s">
        <v>15</v>
      </c>
      <c r="E341" t="s">
        <v>48</v>
      </c>
      <c r="F341" t="s">
        <v>65</v>
      </c>
      <c r="G341" t="s">
        <v>22</v>
      </c>
      <c r="H341">
        <v>1</v>
      </c>
      <c r="I341" s="3">
        <v>2590</v>
      </c>
      <c r="J341" s="4">
        <v>0.05</v>
      </c>
      <c r="K341" s="5">
        <v>2460.5</v>
      </c>
      <c r="L341" t="s">
        <v>23</v>
      </c>
      <c r="M341">
        <v>4</v>
      </c>
    </row>
    <row r="342" spans="1:13">
      <c r="A342" t="s">
        <v>392</v>
      </c>
      <c r="B342" s="1">
        <v>45865</v>
      </c>
      <c r="C342" t="s">
        <v>44</v>
      </c>
      <c r="D342" t="s">
        <v>45</v>
      </c>
      <c r="E342" t="s">
        <v>16</v>
      </c>
      <c r="F342" t="s">
        <v>46</v>
      </c>
      <c r="G342" t="s">
        <v>2</v>
      </c>
      <c r="H342">
        <v>1</v>
      </c>
      <c r="I342" s="3">
        <v>29</v>
      </c>
      <c r="J342" s="4">
        <v>0.2</v>
      </c>
      <c r="K342" s="5">
        <v>23.2</v>
      </c>
      <c r="L342" t="s">
        <v>23</v>
      </c>
      <c r="M342">
        <v>5</v>
      </c>
    </row>
    <row r="343" spans="1:13">
      <c r="A343" t="s">
        <v>393</v>
      </c>
      <c r="B343" s="1">
        <v>45867</v>
      </c>
      <c r="C343" t="s">
        <v>54</v>
      </c>
      <c r="D343" t="s">
        <v>35</v>
      </c>
      <c r="E343" t="s">
        <v>20</v>
      </c>
      <c r="F343" t="s">
        <v>75</v>
      </c>
      <c r="G343" t="s">
        <v>22</v>
      </c>
      <c r="H343">
        <v>1</v>
      </c>
      <c r="I343" s="3">
        <v>45</v>
      </c>
      <c r="J343" s="4">
        <v>0</v>
      </c>
      <c r="K343" s="5">
        <v>45</v>
      </c>
      <c r="L343" t="s">
        <v>51</v>
      </c>
      <c r="M343">
        <v>5</v>
      </c>
    </row>
    <row r="344" spans="1:13">
      <c r="A344" t="s">
        <v>394</v>
      </c>
      <c r="B344" s="1">
        <v>45869</v>
      </c>
      <c r="C344" t="s">
        <v>31</v>
      </c>
      <c r="D344" t="s">
        <v>15</v>
      </c>
      <c r="E344" t="s">
        <v>26</v>
      </c>
      <c r="F344" t="s">
        <v>27</v>
      </c>
      <c r="G344" t="s">
        <v>22</v>
      </c>
      <c r="H344">
        <v>1</v>
      </c>
      <c r="I344" s="3">
        <v>699</v>
      </c>
      <c r="J344" s="4">
        <v>0.05</v>
      </c>
      <c r="K344" s="5">
        <v>664.05</v>
      </c>
      <c r="L344" t="s">
        <v>23</v>
      </c>
      <c r="M344">
        <v>5</v>
      </c>
    </row>
    <row r="345" spans="1:13">
      <c r="A345" t="s">
        <v>395</v>
      </c>
      <c r="B345" s="1">
        <v>45869</v>
      </c>
      <c r="C345" t="s">
        <v>40</v>
      </c>
      <c r="D345" t="s">
        <v>41</v>
      </c>
      <c r="E345" t="s">
        <v>16</v>
      </c>
      <c r="F345" t="s">
        <v>32</v>
      </c>
      <c r="G345" t="s">
        <v>2</v>
      </c>
      <c r="H345">
        <v>1</v>
      </c>
      <c r="I345" s="3">
        <v>89</v>
      </c>
      <c r="J345" s="4">
        <v>0</v>
      </c>
      <c r="K345" s="5">
        <v>89</v>
      </c>
      <c r="L345" t="s">
        <v>51</v>
      </c>
      <c r="M345">
        <v>4</v>
      </c>
    </row>
    <row r="346" spans="1:13">
      <c r="A346" t="s">
        <v>396</v>
      </c>
      <c r="B346" s="1">
        <v>45870</v>
      </c>
      <c r="C346" t="s">
        <v>31</v>
      </c>
      <c r="D346" t="s">
        <v>15</v>
      </c>
      <c r="E346" t="s">
        <v>48</v>
      </c>
      <c r="F346" t="s">
        <v>79</v>
      </c>
      <c r="G346" t="s">
        <v>2</v>
      </c>
      <c r="H346">
        <v>1</v>
      </c>
      <c r="I346" s="3">
        <v>1790</v>
      </c>
      <c r="J346" s="4">
        <v>0.15</v>
      </c>
      <c r="K346" s="5">
        <v>1521.5</v>
      </c>
      <c r="L346" t="s">
        <v>23</v>
      </c>
      <c r="M346">
        <v>3</v>
      </c>
    </row>
    <row r="347" spans="1:13">
      <c r="A347" t="s">
        <v>397</v>
      </c>
      <c r="B347" s="1">
        <v>45870</v>
      </c>
      <c r="C347" t="s">
        <v>14</v>
      </c>
      <c r="D347" t="s">
        <v>15</v>
      </c>
      <c r="E347" t="s">
        <v>48</v>
      </c>
      <c r="F347" t="s">
        <v>49</v>
      </c>
      <c r="G347" t="s">
        <v>2</v>
      </c>
      <c r="H347">
        <v>1</v>
      </c>
      <c r="I347" s="3">
        <v>3990</v>
      </c>
      <c r="J347" s="4">
        <v>0.1</v>
      </c>
      <c r="K347" s="5">
        <v>3591</v>
      </c>
      <c r="L347" t="s">
        <v>38</v>
      </c>
      <c r="M347">
        <v>4</v>
      </c>
    </row>
    <row r="348" spans="1:13">
      <c r="A348" t="s">
        <v>398</v>
      </c>
      <c r="B348" s="1">
        <v>45872</v>
      </c>
      <c r="C348" t="s">
        <v>25</v>
      </c>
      <c r="D348" t="s">
        <v>15</v>
      </c>
      <c r="E348" t="s">
        <v>20</v>
      </c>
      <c r="F348" t="s">
        <v>75</v>
      </c>
      <c r="G348" t="s">
        <v>2</v>
      </c>
      <c r="H348">
        <v>3</v>
      </c>
      <c r="I348" s="3">
        <v>45</v>
      </c>
      <c r="J348" s="4">
        <v>0</v>
      </c>
      <c r="K348" s="5">
        <v>135</v>
      </c>
      <c r="L348" t="s">
        <v>51</v>
      </c>
      <c r="M348">
        <v>5</v>
      </c>
    </row>
    <row r="349" spans="1:13">
      <c r="A349" t="s">
        <v>399</v>
      </c>
      <c r="B349" s="1">
        <v>45872</v>
      </c>
      <c r="C349" t="s">
        <v>44</v>
      </c>
      <c r="D349" t="s">
        <v>45</v>
      </c>
      <c r="E349" t="s">
        <v>48</v>
      </c>
      <c r="F349" t="s">
        <v>49</v>
      </c>
      <c r="G349" t="s">
        <v>2</v>
      </c>
      <c r="H349">
        <v>1</v>
      </c>
      <c r="I349" s="3">
        <v>3990</v>
      </c>
      <c r="J349" s="4">
        <v>0.1</v>
      </c>
      <c r="K349" s="5">
        <v>3591</v>
      </c>
      <c r="L349" t="s">
        <v>51</v>
      </c>
      <c r="M349">
        <v>4</v>
      </c>
    </row>
    <row r="350" spans="1:13">
      <c r="A350" t="s">
        <v>400</v>
      </c>
      <c r="B350" s="1">
        <v>45873</v>
      </c>
      <c r="C350" t="s">
        <v>14</v>
      </c>
      <c r="D350" t="s">
        <v>15</v>
      </c>
      <c r="E350" t="s">
        <v>20</v>
      </c>
      <c r="F350" t="s">
        <v>55</v>
      </c>
      <c r="G350" t="s">
        <v>2</v>
      </c>
      <c r="H350">
        <v>2</v>
      </c>
      <c r="I350" s="3">
        <v>35</v>
      </c>
      <c r="J350" s="4">
        <v>0</v>
      </c>
      <c r="K350" s="5">
        <v>70</v>
      </c>
      <c r="L350" t="s">
        <v>23</v>
      </c>
      <c r="M350">
        <v>1</v>
      </c>
    </row>
    <row r="351" spans="1:13">
      <c r="A351" t="s">
        <v>401</v>
      </c>
      <c r="B351" s="1">
        <v>45874</v>
      </c>
      <c r="C351" t="s">
        <v>44</v>
      </c>
      <c r="D351" t="s">
        <v>45</v>
      </c>
      <c r="E351" t="s">
        <v>20</v>
      </c>
      <c r="F351" t="s">
        <v>42</v>
      </c>
      <c r="G351" t="s">
        <v>37</v>
      </c>
      <c r="H351">
        <v>2</v>
      </c>
      <c r="I351" s="3">
        <v>59</v>
      </c>
      <c r="J351" s="4">
        <v>0</v>
      </c>
      <c r="K351" s="5">
        <v>118</v>
      </c>
      <c r="L351" t="s">
        <v>51</v>
      </c>
      <c r="M351">
        <v>5</v>
      </c>
    </row>
    <row r="352" spans="1:13">
      <c r="A352" t="s">
        <v>402</v>
      </c>
      <c r="B352" s="1">
        <v>45874</v>
      </c>
      <c r="C352" t="s">
        <v>54</v>
      </c>
      <c r="D352" t="s">
        <v>35</v>
      </c>
      <c r="E352" t="s">
        <v>26</v>
      </c>
      <c r="F352" t="s">
        <v>60</v>
      </c>
      <c r="G352" t="s">
        <v>22</v>
      </c>
      <c r="H352">
        <v>1</v>
      </c>
      <c r="I352" s="3">
        <v>1890</v>
      </c>
      <c r="J352" s="4">
        <v>0.05</v>
      </c>
      <c r="K352" s="5">
        <v>1795.5</v>
      </c>
      <c r="L352" t="s">
        <v>23</v>
      </c>
      <c r="M352">
        <v>4</v>
      </c>
    </row>
    <row r="353" spans="1:13">
      <c r="A353" t="s">
        <v>403</v>
      </c>
      <c r="B353" s="1">
        <v>45876</v>
      </c>
      <c r="C353" t="s">
        <v>31</v>
      </c>
      <c r="D353" t="s">
        <v>15</v>
      </c>
      <c r="E353" t="s">
        <v>48</v>
      </c>
      <c r="F353" t="s">
        <v>79</v>
      </c>
      <c r="G353" t="s">
        <v>2</v>
      </c>
      <c r="H353">
        <v>1</v>
      </c>
      <c r="I353" s="3">
        <v>1790</v>
      </c>
      <c r="J353" s="4">
        <v>0.1</v>
      </c>
      <c r="K353" s="5">
        <v>1611</v>
      </c>
      <c r="L353" t="s">
        <v>51</v>
      </c>
      <c r="M353">
        <v>5</v>
      </c>
    </row>
    <row r="354" spans="1:13">
      <c r="A354" t="s">
        <v>404</v>
      </c>
      <c r="B354" s="1">
        <v>45877</v>
      </c>
      <c r="C354" t="s">
        <v>54</v>
      </c>
      <c r="D354" t="s">
        <v>35</v>
      </c>
      <c r="E354" t="s">
        <v>20</v>
      </c>
      <c r="F354" t="s">
        <v>75</v>
      </c>
      <c r="G354" t="s">
        <v>2</v>
      </c>
      <c r="H354">
        <v>2</v>
      </c>
      <c r="I354" s="3">
        <v>45</v>
      </c>
      <c r="J354" s="4">
        <v>0.15</v>
      </c>
      <c r="K354" s="5">
        <v>76.5</v>
      </c>
      <c r="L354" t="s">
        <v>23</v>
      </c>
      <c r="M354">
        <v>4</v>
      </c>
    </row>
    <row r="355" spans="1:13">
      <c r="A355" t="s">
        <v>405</v>
      </c>
      <c r="B355" s="1">
        <v>45877</v>
      </c>
      <c r="C355" t="s">
        <v>44</v>
      </c>
      <c r="D355" t="s">
        <v>45</v>
      </c>
      <c r="E355" t="s">
        <v>48</v>
      </c>
      <c r="F355" t="s">
        <v>79</v>
      </c>
      <c r="G355" t="s">
        <v>37</v>
      </c>
      <c r="H355">
        <v>1</v>
      </c>
      <c r="I355" s="3">
        <v>1790</v>
      </c>
      <c r="J355" s="4">
        <v>0.05</v>
      </c>
      <c r="K355" s="5">
        <v>1700.5</v>
      </c>
      <c r="L355" t="s">
        <v>23</v>
      </c>
      <c r="M355">
        <v>5</v>
      </c>
    </row>
    <row r="356" spans="1:13">
      <c r="A356" t="s">
        <v>406</v>
      </c>
      <c r="B356" s="1">
        <v>45877</v>
      </c>
      <c r="C356" t="s">
        <v>54</v>
      </c>
      <c r="D356" t="s">
        <v>35</v>
      </c>
      <c r="E356" t="s">
        <v>16</v>
      </c>
      <c r="F356" t="s">
        <v>17</v>
      </c>
      <c r="G356" t="s">
        <v>2</v>
      </c>
      <c r="H356">
        <v>1</v>
      </c>
      <c r="I356" s="3">
        <v>19</v>
      </c>
      <c r="J356" s="4">
        <v>0.2</v>
      </c>
      <c r="K356" s="5">
        <v>15.2</v>
      </c>
      <c r="L356" t="s">
        <v>23</v>
      </c>
      <c r="M356">
        <v>5</v>
      </c>
    </row>
    <row r="357" spans="1:13">
      <c r="A357" t="s">
        <v>407</v>
      </c>
      <c r="B357" s="1">
        <v>45878</v>
      </c>
      <c r="C357" t="s">
        <v>54</v>
      </c>
      <c r="D357" t="s">
        <v>35</v>
      </c>
      <c r="E357" t="s">
        <v>26</v>
      </c>
      <c r="F357" t="s">
        <v>60</v>
      </c>
      <c r="G357" t="s">
        <v>22</v>
      </c>
      <c r="H357">
        <v>2</v>
      </c>
      <c r="I357" s="3">
        <v>1890</v>
      </c>
      <c r="J357" s="4">
        <v>0.15</v>
      </c>
      <c r="K357" s="5">
        <v>3213</v>
      </c>
      <c r="L357" t="s">
        <v>23</v>
      </c>
      <c r="M357">
        <v>4</v>
      </c>
    </row>
    <row r="358" spans="1:13">
      <c r="A358" t="s">
        <v>408</v>
      </c>
      <c r="B358" s="1">
        <v>45879</v>
      </c>
      <c r="C358" t="s">
        <v>31</v>
      </c>
      <c r="D358" t="s">
        <v>15</v>
      </c>
      <c r="E358" t="s">
        <v>20</v>
      </c>
      <c r="F358" t="s">
        <v>21</v>
      </c>
      <c r="G358" t="s">
        <v>2</v>
      </c>
      <c r="H358">
        <v>1</v>
      </c>
      <c r="I358" s="3">
        <v>69</v>
      </c>
      <c r="J358" s="4">
        <v>0</v>
      </c>
      <c r="K358" s="5">
        <v>69</v>
      </c>
      <c r="L358" t="s">
        <v>23</v>
      </c>
      <c r="M358">
        <v>4</v>
      </c>
    </row>
    <row r="359" spans="1:13">
      <c r="A359" t="s">
        <v>409</v>
      </c>
      <c r="B359" s="1">
        <v>45880</v>
      </c>
      <c r="C359" t="s">
        <v>44</v>
      </c>
      <c r="D359" t="s">
        <v>45</v>
      </c>
      <c r="E359" t="s">
        <v>16</v>
      </c>
      <c r="F359" t="s">
        <v>46</v>
      </c>
      <c r="G359" t="s">
        <v>2</v>
      </c>
      <c r="H359">
        <v>1</v>
      </c>
      <c r="I359" s="3">
        <v>29</v>
      </c>
      <c r="J359" s="4">
        <v>0</v>
      </c>
      <c r="K359" s="5">
        <v>29</v>
      </c>
      <c r="L359" t="s">
        <v>23</v>
      </c>
      <c r="M359">
        <v>5</v>
      </c>
    </row>
    <row r="360" spans="1:13">
      <c r="A360" t="s">
        <v>410</v>
      </c>
      <c r="B360" s="1">
        <v>45880</v>
      </c>
      <c r="C360" t="s">
        <v>14</v>
      </c>
      <c r="D360" t="s">
        <v>15</v>
      </c>
      <c r="E360" t="s">
        <v>62</v>
      </c>
      <c r="F360" t="s">
        <v>77</v>
      </c>
      <c r="G360" t="s">
        <v>37</v>
      </c>
      <c r="H360">
        <v>1</v>
      </c>
      <c r="I360" s="3">
        <v>899</v>
      </c>
      <c r="J360" s="4">
        <v>0</v>
      </c>
      <c r="K360" s="5">
        <v>899</v>
      </c>
      <c r="L360" t="s">
        <v>23</v>
      </c>
      <c r="M360">
        <v>5</v>
      </c>
    </row>
    <row r="361" spans="1:13">
      <c r="A361" t="s">
        <v>411</v>
      </c>
      <c r="B361" s="1">
        <v>45881</v>
      </c>
      <c r="C361" t="s">
        <v>34</v>
      </c>
      <c r="D361" t="s">
        <v>35</v>
      </c>
      <c r="E361" t="s">
        <v>20</v>
      </c>
      <c r="F361" t="s">
        <v>55</v>
      </c>
      <c r="G361" t="s">
        <v>22</v>
      </c>
      <c r="H361">
        <v>3</v>
      </c>
      <c r="I361" s="3">
        <v>35</v>
      </c>
      <c r="J361" s="4">
        <v>0</v>
      </c>
      <c r="K361" s="5">
        <v>105</v>
      </c>
      <c r="L361" t="s">
        <v>18</v>
      </c>
    </row>
    <row r="362" spans="1:13">
      <c r="A362" t="s">
        <v>412</v>
      </c>
      <c r="B362" s="1">
        <v>45883</v>
      </c>
      <c r="C362" t="s">
        <v>34</v>
      </c>
      <c r="D362" t="s">
        <v>35</v>
      </c>
      <c r="E362" t="s">
        <v>62</v>
      </c>
      <c r="F362" t="s">
        <v>63</v>
      </c>
      <c r="G362" t="s">
        <v>2</v>
      </c>
      <c r="H362">
        <v>1</v>
      </c>
      <c r="I362" s="3">
        <v>2490</v>
      </c>
      <c r="J362" s="4">
        <v>0.05</v>
      </c>
      <c r="K362" s="5">
        <v>2365.5</v>
      </c>
      <c r="L362" t="s">
        <v>18</v>
      </c>
      <c r="M362">
        <v>5</v>
      </c>
    </row>
    <row r="363" spans="1:13">
      <c r="A363" t="s">
        <v>413</v>
      </c>
      <c r="B363" s="1">
        <v>45884</v>
      </c>
      <c r="C363" t="s">
        <v>31</v>
      </c>
      <c r="D363" t="s">
        <v>15</v>
      </c>
      <c r="E363" t="s">
        <v>62</v>
      </c>
      <c r="F363" t="s">
        <v>63</v>
      </c>
      <c r="G363" t="s">
        <v>2</v>
      </c>
      <c r="H363">
        <v>1</v>
      </c>
      <c r="I363" s="3">
        <v>2490</v>
      </c>
      <c r="J363" s="4">
        <v>0.2</v>
      </c>
      <c r="K363" s="5">
        <v>1992</v>
      </c>
      <c r="L363" t="s">
        <v>23</v>
      </c>
      <c r="M363">
        <v>2</v>
      </c>
    </row>
    <row r="364" spans="1:13">
      <c r="A364" t="s">
        <v>414</v>
      </c>
      <c r="B364" s="1">
        <v>45886</v>
      </c>
      <c r="C364" t="s">
        <v>14</v>
      </c>
      <c r="D364" t="s">
        <v>15</v>
      </c>
      <c r="E364" t="s">
        <v>20</v>
      </c>
      <c r="F364" t="s">
        <v>21</v>
      </c>
      <c r="G364" t="s">
        <v>2</v>
      </c>
      <c r="H364">
        <v>1</v>
      </c>
      <c r="I364" s="3">
        <v>69</v>
      </c>
      <c r="J364" s="4">
        <v>0.15</v>
      </c>
      <c r="K364" s="5">
        <v>58.65</v>
      </c>
      <c r="L364" t="s">
        <v>18</v>
      </c>
      <c r="M364">
        <v>3</v>
      </c>
    </row>
    <row r="365" spans="1:13">
      <c r="A365" t="s">
        <v>415</v>
      </c>
      <c r="B365" s="1">
        <v>45886</v>
      </c>
      <c r="C365" t="s">
        <v>44</v>
      </c>
      <c r="D365" t="s">
        <v>45</v>
      </c>
      <c r="E365" t="s">
        <v>26</v>
      </c>
      <c r="F365" t="s">
        <v>60</v>
      </c>
      <c r="G365" t="s">
        <v>37</v>
      </c>
      <c r="H365">
        <v>1</v>
      </c>
      <c r="I365" s="3">
        <v>1890</v>
      </c>
      <c r="J365" s="4">
        <v>0.05</v>
      </c>
      <c r="K365" s="5">
        <v>1795.5</v>
      </c>
      <c r="L365" t="s">
        <v>23</v>
      </c>
      <c r="M365">
        <v>5</v>
      </c>
    </row>
    <row r="366" spans="1:13">
      <c r="A366" t="s">
        <v>416</v>
      </c>
      <c r="B366" s="1">
        <v>45887</v>
      </c>
      <c r="C366" t="s">
        <v>31</v>
      </c>
      <c r="D366" t="s">
        <v>15</v>
      </c>
      <c r="E366" t="s">
        <v>16</v>
      </c>
      <c r="F366" t="s">
        <v>46</v>
      </c>
      <c r="G366" t="s">
        <v>2</v>
      </c>
      <c r="H366">
        <v>1</v>
      </c>
      <c r="I366" s="3">
        <v>29</v>
      </c>
      <c r="J366" s="4">
        <v>0.15</v>
      </c>
      <c r="K366" s="5">
        <v>24.65</v>
      </c>
      <c r="L366" t="s">
        <v>51</v>
      </c>
      <c r="M366">
        <v>4</v>
      </c>
    </row>
    <row r="367" spans="1:13">
      <c r="A367" t="s">
        <v>417</v>
      </c>
      <c r="B367" s="1">
        <v>45887</v>
      </c>
      <c r="C367" t="s">
        <v>31</v>
      </c>
      <c r="D367" t="s">
        <v>15</v>
      </c>
      <c r="E367" t="s">
        <v>20</v>
      </c>
      <c r="F367" t="s">
        <v>21</v>
      </c>
      <c r="G367" t="s">
        <v>2</v>
      </c>
      <c r="H367">
        <v>1</v>
      </c>
      <c r="I367" s="3">
        <v>69</v>
      </c>
      <c r="J367" s="4">
        <v>0.2</v>
      </c>
      <c r="K367" s="5">
        <v>55.2</v>
      </c>
      <c r="L367" t="s">
        <v>23</v>
      </c>
    </row>
    <row r="368" spans="1:13">
      <c r="A368" t="s">
        <v>418</v>
      </c>
      <c r="B368" s="1">
        <v>45887</v>
      </c>
      <c r="C368" t="s">
        <v>44</v>
      </c>
      <c r="D368" t="s">
        <v>45</v>
      </c>
      <c r="E368" t="s">
        <v>20</v>
      </c>
      <c r="F368" t="s">
        <v>42</v>
      </c>
      <c r="G368" t="s">
        <v>2</v>
      </c>
      <c r="H368">
        <v>1</v>
      </c>
      <c r="I368" s="3">
        <v>59</v>
      </c>
      <c r="J368" s="4">
        <v>0.15</v>
      </c>
      <c r="K368" s="5">
        <v>50.15</v>
      </c>
      <c r="L368" t="s">
        <v>18</v>
      </c>
      <c r="M368">
        <v>4</v>
      </c>
    </row>
    <row r="369" spans="1:13">
      <c r="A369" t="s">
        <v>419</v>
      </c>
      <c r="B369" s="1">
        <v>45888</v>
      </c>
      <c r="C369" t="s">
        <v>44</v>
      </c>
      <c r="D369" t="s">
        <v>45</v>
      </c>
      <c r="E369" t="s">
        <v>48</v>
      </c>
      <c r="F369" t="s">
        <v>49</v>
      </c>
      <c r="G369" t="s">
        <v>22</v>
      </c>
      <c r="H369">
        <v>2</v>
      </c>
      <c r="I369" s="3">
        <v>3990</v>
      </c>
      <c r="J369" s="4">
        <v>0</v>
      </c>
      <c r="K369" s="5">
        <v>7980</v>
      </c>
      <c r="L369" t="s">
        <v>18</v>
      </c>
      <c r="M369">
        <v>3</v>
      </c>
    </row>
    <row r="370" spans="1:13">
      <c r="A370" t="s">
        <v>420</v>
      </c>
      <c r="B370" s="1">
        <v>45888</v>
      </c>
      <c r="C370" t="s">
        <v>34</v>
      </c>
      <c r="D370" t="s">
        <v>35</v>
      </c>
      <c r="E370" t="s">
        <v>16</v>
      </c>
      <c r="F370" t="s">
        <v>32</v>
      </c>
      <c r="G370" t="s">
        <v>2</v>
      </c>
      <c r="H370">
        <v>1</v>
      </c>
      <c r="I370" s="3">
        <v>89</v>
      </c>
      <c r="J370" s="4">
        <v>0</v>
      </c>
      <c r="K370" s="5">
        <v>89</v>
      </c>
      <c r="L370" t="s">
        <v>18</v>
      </c>
      <c r="M370">
        <v>5</v>
      </c>
    </row>
    <row r="371" spans="1:13">
      <c r="A371" t="s">
        <v>421</v>
      </c>
      <c r="B371" s="1">
        <v>45890</v>
      </c>
      <c r="C371" t="s">
        <v>31</v>
      </c>
      <c r="D371" t="s">
        <v>15</v>
      </c>
      <c r="E371" t="s">
        <v>48</v>
      </c>
      <c r="F371" t="s">
        <v>65</v>
      </c>
      <c r="G371" t="s">
        <v>2</v>
      </c>
      <c r="H371">
        <v>2</v>
      </c>
      <c r="I371" s="3">
        <v>2590</v>
      </c>
      <c r="J371" s="4">
        <v>0.1</v>
      </c>
      <c r="K371" s="5">
        <v>4662</v>
      </c>
      <c r="L371" t="s">
        <v>51</v>
      </c>
      <c r="M371">
        <v>5</v>
      </c>
    </row>
    <row r="372" spans="1:13">
      <c r="A372" t="s">
        <v>422</v>
      </c>
      <c r="B372" s="1">
        <v>45892</v>
      </c>
      <c r="C372" t="s">
        <v>54</v>
      </c>
      <c r="D372" t="s">
        <v>35</v>
      </c>
      <c r="E372" t="s">
        <v>20</v>
      </c>
      <c r="F372" t="s">
        <v>21</v>
      </c>
      <c r="G372" t="s">
        <v>2</v>
      </c>
      <c r="H372">
        <v>2</v>
      </c>
      <c r="I372" s="3">
        <v>69</v>
      </c>
      <c r="J372" s="4">
        <v>0</v>
      </c>
      <c r="K372" s="5">
        <v>138</v>
      </c>
      <c r="L372" t="s">
        <v>23</v>
      </c>
      <c r="M372">
        <v>3</v>
      </c>
    </row>
    <row r="373" spans="1:13">
      <c r="A373" t="s">
        <v>423</v>
      </c>
      <c r="B373" s="1">
        <v>45892</v>
      </c>
      <c r="C373" t="s">
        <v>57</v>
      </c>
      <c r="D373" t="s">
        <v>15</v>
      </c>
      <c r="E373" t="s">
        <v>20</v>
      </c>
      <c r="F373" t="s">
        <v>21</v>
      </c>
      <c r="G373" t="s">
        <v>22</v>
      </c>
      <c r="H373">
        <v>1</v>
      </c>
      <c r="I373" s="3">
        <v>69</v>
      </c>
      <c r="J373" s="4">
        <v>0.05</v>
      </c>
      <c r="K373" s="5">
        <v>65.55</v>
      </c>
      <c r="L373" t="s">
        <v>18</v>
      </c>
      <c r="M373">
        <v>3</v>
      </c>
    </row>
    <row r="374" spans="1:13">
      <c r="A374" t="s">
        <v>424</v>
      </c>
      <c r="B374" s="1">
        <v>45892</v>
      </c>
      <c r="C374" t="s">
        <v>34</v>
      </c>
      <c r="D374" t="s">
        <v>35</v>
      </c>
      <c r="E374" t="s">
        <v>16</v>
      </c>
      <c r="F374" t="s">
        <v>46</v>
      </c>
      <c r="G374" t="s">
        <v>2</v>
      </c>
      <c r="H374">
        <v>1</v>
      </c>
      <c r="I374" s="3">
        <v>29</v>
      </c>
      <c r="J374" s="4">
        <v>0.1</v>
      </c>
      <c r="K374" s="5">
        <v>26.1</v>
      </c>
      <c r="L374" t="s">
        <v>51</v>
      </c>
      <c r="M374">
        <v>5</v>
      </c>
    </row>
    <row r="375" spans="1:13">
      <c r="A375" t="s">
        <v>425</v>
      </c>
      <c r="B375" s="1">
        <v>45892</v>
      </c>
      <c r="C375" t="s">
        <v>25</v>
      </c>
      <c r="D375" t="s">
        <v>15</v>
      </c>
      <c r="E375" t="s">
        <v>26</v>
      </c>
      <c r="F375" t="s">
        <v>29</v>
      </c>
      <c r="G375" t="s">
        <v>2</v>
      </c>
      <c r="H375">
        <v>1</v>
      </c>
      <c r="I375" s="3">
        <v>549</v>
      </c>
      <c r="J375" s="4">
        <v>0</v>
      </c>
      <c r="K375" s="5">
        <v>549</v>
      </c>
      <c r="L375" t="s">
        <v>23</v>
      </c>
      <c r="M375">
        <v>4</v>
      </c>
    </row>
    <row r="376" spans="1:13">
      <c r="A376" t="s">
        <v>426</v>
      </c>
      <c r="B376" s="1">
        <v>45893</v>
      </c>
      <c r="C376" t="s">
        <v>25</v>
      </c>
      <c r="D376" t="s">
        <v>15</v>
      </c>
      <c r="E376" t="s">
        <v>16</v>
      </c>
      <c r="F376" t="s">
        <v>46</v>
      </c>
      <c r="G376" t="s">
        <v>2</v>
      </c>
      <c r="H376">
        <v>1</v>
      </c>
      <c r="I376" s="3">
        <v>29</v>
      </c>
      <c r="J376" s="4">
        <v>0.1</v>
      </c>
      <c r="K376" s="5">
        <v>26.1</v>
      </c>
      <c r="L376" t="s">
        <v>18</v>
      </c>
      <c r="M376">
        <v>3</v>
      </c>
    </row>
    <row r="377" spans="1:13">
      <c r="A377" t="s">
        <v>427</v>
      </c>
      <c r="B377" s="1">
        <v>45895</v>
      </c>
      <c r="C377" t="s">
        <v>40</v>
      </c>
      <c r="D377" t="s">
        <v>41</v>
      </c>
      <c r="E377" t="s">
        <v>62</v>
      </c>
      <c r="F377" t="s">
        <v>100</v>
      </c>
      <c r="G377" t="s">
        <v>2</v>
      </c>
      <c r="H377">
        <v>1</v>
      </c>
      <c r="I377" s="3">
        <v>1190</v>
      </c>
      <c r="J377" s="4">
        <v>0</v>
      </c>
      <c r="K377" s="5">
        <v>1190</v>
      </c>
      <c r="L377" t="s">
        <v>23</v>
      </c>
      <c r="M377">
        <v>4</v>
      </c>
    </row>
    <row r="378" spans="1:13">
      <c r="A378" t="s">
        <v>428</v>
      </c>
      <c r="B378" s="1">
        <v>45896</v>
      </c>
      <c r="C378" t="s">
        <v>25</v>
      </c>
      <c r="D378" t="s">
        <v>15</v>
      </c>
      <c r="E378" t="s">
        <v>16</v>
      </c>
      <c r="F378" t="s">
        <v>17</v>
      </c>
      <c r="G378" t="s">
        <v>2</v>
      </c>
      <c r="H378">
        <v>1</v>
      </c>
      <c r="I378" s="3">
        <v>19</v>
      </c>
      <c r="J378" s="4">
        <v>0</v>
      </c>
      <c r="K378" s="5">
        <v>19</v>
      </c>
      <c r="L378" t="s">
        <v>51</v>
      </c>
      <c r="M378">
        <v>5</v>
      </c>
    </row>
    <row r="379" spans="1:13">
      <c r="A379" t="s">
        <v>429</v>
      </c>
      <c r="B379" s="1">
        <v>45896</v>
      </c>
      <c r="C379" t="s">
        <v>34</v>
      </c>
      <c r="D379" t="s">
        <v>35</v>
      </c>
      <c r="E379" t="s">
        <v>26</v>
      </c>
      <c r="F379" t="s">
        <v>60</v>
      </c>
      <c r="G379" t="s">
        <v>22</v>
      </c>
      <c r="H379">
        <v>2</v>
      </c>
      <c r="I379" s="3">
        <v>1890</v>
      </c>
      <c r="J379" s="4">
        <v>0</v>
      </c>
      <c r="K379" s="5">
        <v>3780</v>
      </c>
      <c r="L379" t="s">
        <v>38</v>
      </c>
      <c r="M379">
        <v>4</v>
      </c>
    </row>
    <row r="380" spans="1:13">
      <c r="A380" t="s">
        <v>430</v>
      </c>
      <c r="B380" s="1">
        <v>45898</v>
      </c>
      <c r="C380" t="s">
        <v>34</v>
      </c>
      <c r="D380" t="s">
        <v>35</v>
      </c>
      <c r="E380" t="s">
        <v>48</v>
      </c>
      <c r="F380" t="s">
        <v>65</v>
      </c>
      <c r="G380" t="s">
        <v>2</v>
      </c>
      <c r="H380">
        <v>1</v>
      </c>
      <c r="I380" s="3">
        <v>2590</v>
      </c>
      <c r="J380" s="4">
        <v>0.1</v>
      </c>
      <c r="K380" s="5">
        <v>2331</v>
      </c>
      <c r="L380" t="s">
        <v>38</v>
      </c>
      <c r="M380">
        <v>4</v>
      </c>
    </row>
    <row r="381" spans="1:13">
      <c r="A381" t="s">
        <v>431</v>
      </c>
      <c r="B381" s="1">
        <v>45898</v>
      </c>
      <c r="C381" t="s">
        <v>57</v>
      </c>
      <c r="D381" t="s">
        <v>15</v>
      </c>
      <c r="E381" t="s">
        <v>20</v>
      </c>
      <c r="F381" t="s">
        <v>75</v>
      </c>
      <c r="G381" t="s">
        <v>37</v>
      </c>
      <c r="H381">
        <v>1</v>
      </c>
      <c r="I381" s="3">
        <v>45</v>
      </c>
      <c r="J381" s="4">
        <v>0</v>
      </c>
      <c r="K381" s="5">
        <v>45</v>
      </c>
      <c r="L381" t="s">
        <v>23</v>
      </c>
      <c r="M381">
        <v>3</v>
      </c>
    </row>
    <row r="382" spans="1:13">
      <c r="A382" t="s">
        <v>432</v>
      </c>
      <c r="B382" s="1">
        <v>45898</v>
      </c>
      <c r="C382" t="s">
        <v>54</v>
      </c>
      <c r="D382" t="s">
        <v>35</v>
      </c>
      <c r="E382" t="s">
        <v>20</v>
      </c>
      <c r="F382" t="s">
        <v>75</v>
      </c>
      <c r="G382" t="s">
        <v>22</v>
      </c>
      <c r="H382">
        <v>1</v>
      </c>
      <c r="I382" s="3">
        <v>45</v>
      </c>
      <c r="J382" s="4">
        <v>0.1</v>
      </c>
      <c r="K382" s="5">
        <v>40.5</v>
      </c>
      <c r="L382" t="s">
        <v>23</v>
      </c>
      <c r="M382">
        <v>4</v>
      </c>
    </row>
    <row r="383" spans="1:13">
      <c r="A383" t="s">
        <v>433</v>
      </c>
      <c r="B383" s="1">
        <v>45899</v>
      </c>
      <c r="C383" t="s">
        <v>14</v>
      </c>
      <c r="D383" t="s">
        <v>15</v>
      </c>
      <c r="E383" t="s">
        <v>20</v>
      </c>
      <c r="F383" t="s">
        <v>75</v>
      </c>
      <c r="G383" t="s">
        <v>22</v>
      </c>
      <c r="H383">
        <v>2</v>
      </c>
      <c r="I383" s="3">
        <v>45</v>
      </c>
      <c r="J383" s="4">
        <v>0</v>
      </c>
      <c r="K383" s="5">
        <v>90</v>
      </c>
      <c r="L383" t="s">
        <v>38</v>
      </c>
      <c r="M383">
        <v>5</v>
      </c>
    </row>
    <row r="384" spans="1:13">
      <c r="A384" t="s">
        <v>434</v>
      </c>
      <c r="B384" s="1">
        <v>45899</v>
      </c>
      <c r="C384" t="s">
        <v>54</v>
      </c>
      <c r="D384" t="s">
        <v>35</v>
      </c>
      <c r="E384" t="s">
        <v>48</v>
      </c>
      <c r="F384" t="s">
        <v>79</v>
      </c>
      <c r="G384" t="s">
        <v>2</v>
      </c>
      <c r="H384">
        <v>1</v>
      </c>
      <c r="I384" s="3">
        <v>1790</v>
      </c>
      <c r="J384" s="4">
        <v>0</v>
      </c>
      <c r="K384" s="5">
        <v>1790</v>
      </c>
      <c r="L384" t="s">
        <v>23</v>
      </c>
      <c r="M384">
        <v>5</v>
      </c>
    </row>
    <row r="385" spans="1:13">
      <c r="A385" t="s">
        <v>435</v>
      </c>
      <c r="B385" s="1">
        <v>45900</v>
      </c>
      <c r="C385" t="s">
        <v>25</v>
      </c>
      <c r="D385" t="s">
        <v>15</v>
      </c>
      <c r="E385" t="s">
        <v>62</v>
      </c>
      <c r="F385" t="s">
        <v>63</v>
      </c>
      <c r="G385" t="s">
        <v>22</v>
      </c>
      <c r="H385">
        <v>1</v>
      </c>
      <c r="I385" s="3">
        <v>2490</v>
      </c>
      <c r="J385" s="4">
        <v>0</v>
      </c>
      <c r="K385" s="5">
        <v>2490</v>
      </c>
      <c r="L385" t="s">
        <v>18</v>
      </c>
      <c r="M385">
        <v>4</v>
      </c>
    </row>
    <row r="386" spans="1:13">
      <c r="A386" t="s">
        <v>436</v>
      </c>
      <c r="B386" s="1">
        <v>45900</v>
      </c>
      <c r="C386" t="s">
        <v>25</v>
      </c>
      <c r="D386" t="s">
        <v>15</v>
      </c>
      <c r="E386" t="s">
        <v>62</v>
      </c>
      <c r="F386" t="s">
        <v>63</v>
      </c>
      <c r="G386" t="s">
        <v>37</v>
      </c>
      <c r="H386">
        <v>2</v>
      </c>
      <c r="I386" s="3">
        <v>2490</v>
      </c>
      <c r="J386" s="4">
        <v>0</v>
      </c>
      <c r="K386" s="5">
        <v>4980</v>
      </c>
      <c r="L386" t="s">
        <v>23</v>
      </c>
      <c r="M386">
        <v>5</v>
      </c>
    </row>
    <row r="387" spans="1:13">
      <c r="A387" t="s">
        <v>437</v>
      </c>
      <c r="B387" s="1">
        <v>45901</v>
      </c>
      <c r="C387" t="s">
        <v>14</v>
      </c>
      <c r="D387" t="s">
        <v>15</v>
      </c>
      <c r="E387" t="s">
        <v>16</v>
      </c>
      <c r="F387" t="s">
        <v>46</v>
      </c>
      <c r="G387" t="s">
        <v>2</v>
      </c>
      <c r="H387">
        <v>1</v>
      </c>
      <c r="I387" s="3">
        <v>29</v>
      </c>
      <c r="J387" s="4">
        <v>0.2</v>
      </c>
      <c r="K387" s="5">
        <v>23.2</v>
      </c>
      <c r="L387" t="s">
        <v>23</v>
      </c>
      <c r="M387">
        <v>4</v>
      </c>
    </row>
    <row r="388" spans="1:13">
      <c r="A388" t="s">
        <v>438</v>
      </c>
      <c r="B388" s="1">
        <v>45902</v>
      </c>
      <c r="C388" t="s">
        <v>34</v>
      </c>
      <c r="D388" t="s">
        <v>35</v>
      </c>
      <c r="E388" t="s">
        <v>20</v>
      </c>
      <c r="F388" t="s">
        <v>42</v>
      </c>
      <c r="G388" t="s">
        <v>2</v>
      </c>
      <c r="H388">
        <v>1</v>
      </c>
      <c r="I388" s="3">
        <v>59</v>
      </c>
      <c r="J388" s="4">
        <v>0.15</v>
      </c>
      <c r="K388" s="5">
        <v>50.15</v>
      </c>
      <c r="L388" t="s">
        <v>23</v>
      </c>
      <c r="M388">
        <v>2</v>
      </c>
    </row>
    <row r="389" spans="1:13">
      <c r="A389" t="s">
        <v>439</v>
      </c>
      <c r="B389" s="1">
        <v>45902</v>
      </c>
      <c r="C389" t="s">
        <v>44</v>
      </c>
      <c r="D389" t="s">
        <v>45</v>
      </c>
      <c r="E389" t="s">
        <v>16</v>
      </c>
      <c r="F389" t="s">
        <v>17</v>
      </c>
      <c r="G389" t="s">
        <v>2</v>
      </c>
      <c r="H389">
        <v>1</v>
      </c>
      <c r="I389" s="3">
        <v>19</v>
      </c>
      <c r="J389" s="4">
        <v>0</v>
      </c>
      <c r="K389" s="5">
        <v>19</v>
      </c>
      <c r="L389" t="s">
        <v>23</v>
      </c>
      <c r="M389">
        <v>4</v>
      </c>
    </row>
    <row r="390" spans="1:13">
      <c r="A390" t="s">
        <v>440</v>
      </c>
      <c r="B390" s="1">
        <v>45903</v>
      </c>
      <c r="C390" t="s">
        <v>54</v>
      </c>
      <c r="D390" t="s">
        <v>35</v>
      </c>
      <c r="E390" t="s">
        <v>20</v>
      </c>
      <c r="F390" t="s">
        <v>75</v>
      </c>
      <c r="G390" t="s">
        <v>2</v>
      </c>
      <c r="H390">
        <v>1</v>
      </c>
      <c r="I390" s="3">
        <v>45</v>
      </c>
      <c r="J390" s="4">
        <v>0</v>
      </c>
      <c r="K390" s="5">
        <v>45</v>
      </c>
      <c r="L390" t="s">
        <v>23</v>
      </c>
      <c r="M390">
        <v>4</v>
      </c>
    </row>
    <row r="391" spans="1:13">
      <c r="A391" t="s">
        <v>441</v>
      </c>
      <c r="B391" s="1">
        <v>45903</v>
      </c>
      <c r="C391" t="s">
        <v>40</v>
      </c>
      <c r="D391" t="s">
        <v>41</v>
      </c>
      <c r="E391" t="s">
        <v>26</v>
      </c>
      <c r="F391" t="s">
        <v>60</v>
      </c>
      <c r="G391" t="s">
        <v>22</v>
      </c>
      <c r="H391">
        <v>1</v>
      </c>
      <c r="I391" s="3">
        <v>1890</v>
      </c>
      <c r="J391" s="4">
        <v>0.05</v>
      </c>
      <c r="K391" s="5">
        <v>1795.5</v>
      </c>
      <c r="L391" t="s">
        <v>23</v>
      </c>
      <c r="M391">
        <v>4</v>
      </c>
    </row>
    <row r="392" spans="1:13">
      <c r="A392" t="s">
        <v>442</v>
      </c>
      <c r="B392" s="1">
        <v>45905</v>
      </c>
      <c r="C392" t="s">
        <v>31</v>
      </c>
      <c r="D392" t="s">
        <v>15</v>
      </c>
      <c r="E392" t="s">
        <v>26</v>
      </c>
      <c r="F392" t="s">
        <v>29</v>
      </c>
      <c r="G392" t="s">
        <v>22</v>
      </c>
      <c r="H392">
        <v>2</v>
      </c>
      <c r="I392" s="3">
        <v>549</v>
      </c>
      <c r="J392" s="4">
        <v>0</v>
      </c>
      <c r="K392" s="5">
        <v>1098</v>
      </c>
      <c r="L392" t="s">
        <v>51</v>
      </c>
      <c r="M392">
        <v>2</v>
      </c>
    </row>
    <row r="393" spans="1:13">
      <c r="A393" t="s">
        <v>443</v>
      </c>
      <c r="B393" s="1">
        <v>45905</v>
      </c>
      <c r="C393" t="s">
        <v>14</v>
      </c>
      <c r="D393" t="s">
        <v>15</v>
      </c>
      <c r="E393" t="s">
        <v>26</v>
      </c>
      <c r="F393" t="s">
        <v>27</v>
      </c>
      <c r="G393" t="s">
        <v>22</v>
      </c>
      <c r="H393">
        <v>1</v>
      </c>
      <c r="I393" s="3">
        <v>699</v>
      </c>
      <c r="J393" s="4">
        <v>0.1</v>
      </c>
      <c r="K393" s="5">
        <v>629.1</v>
      </c>
      <c r="L393" t="s">
        <v>23</v>
      </c>
      <c r="M393">
        <v>4</v>
      </c>
    </row>
    <row r="394" spans="1:13">
      <c r="A394" t="s">
        <v>444</v>
      </c>
      <c r="B394" s="1">
        <v>45906</v>
      </c>
      <c r="C394" t="s">
        <v>54</v>
      </c>
      <c r="D394" t="s">
        <v>35</v>
      </c>
      <c r="E394" t="s">
        <v>16</v>
      </c>
      <c r="F394" t="s">
        <v>32</v>
      </c>
      <c r="G394" t="s">
        <v>2</v>
      </c>
      <c r="H394">
        <v>2</v>
      </c>
      <c r="I394" s="3">
        <v>89</v>
      </c>
      <c r="J394" s="4">
        <v>0.1</v>
      </c>
      <c r="K394" s="5">
        <v>160.19999999999999</v>
      </c>
      <c r="L394" t="s">
        <v>38</v>
      </c>
    </row>
    <row r="395" spans="1:13">
      <c r="A395" t="s">
        <v>445</v>
      </c>
      <c r="B395" s="1">
        <v>45906</v>
      </c>
      <c r="C395" t="s">
        <v>54</v>
      </c>
      <c r="D395" t="s">
        <v>35</v>
      </c>
      <c r="E395" t="s">
        <v>62</v>
      </c>
      <c r="F395" t="s">
        <v>63</v>
      </c>
      <c r="G395" t="s">
        <v>2</v>
      </c>
      <c r="H395">
        <v>1</v>
      </c>
      <c r="I395" s="3">
        <v>2490</v>
      </c>
      <c r="J395" s="4">
        <v>0</v>
      </c>
      <c r="K395" s="5">
        <v>2490</v>
      </c>
      <c r="L395" t="s">
        <v>23</v>
      </c>
      <c r="M395">
        <v>3</v>
      </c>
    </row>
    <row r="396" spans="1:13">
      <c r="A396" t="s">
        <v>446</v>
      </c>
      <c r="B396" s="1">
        <v>45906</v>
      </c>
      <c r="C396" t="s">
        <v>25</v>
      </c>
      <c r="D396" t="s">
        <v>15</v>
      </c>
      <c r="E396" t="s">
        <v>20</v>
      </c>
      <c r="F396" t="s">
        <v>42</v>
      </c>
      <c r="G396" t="s">
        <v>22</v>
      </c>
      <c r="H396">
        <v>1</v>
      </c>
      <c r="I396" s="3">
        <v>59</v>
      </c>
      <c r="J396" s="4">
        <v>0</v>
      </c>
      <c r="K396" s="5">
        <v>59</v>
      </c>
      <c r="L396" t="s">
        <v>23</v>
      </c>
    </row>
    <row r="397" spans="1:13">
      <c r="A397" t="s">
        <v>447</v>
      </c>
      <c r="B397" s="1">
        <v>45907</v>
      </c>
      <c r="C397" t="s">
        <v>57</v>
      </c>
      <c r="D397" t="s">
        <v>15</v>
      </c>
      <c r="E397" t="s">
        <v>16</v>
      </c>
      <c r="F397" t="s">
        <v>46</v>
      </c>
      <c r="G397" t="s">
        <v>2</v>
      </c>
      <c r="H397">
        <v>1</v>
      </c>
      <c r="I397" s="3">
        <v>29</v>
      </c>
      <c r="J397" s="4">
        <v>0.2</v>
      </c>
      <c r="K397" s="5">
        <v>23.2</v>
      </c>
      <c r="L397" t="s">
        <v>18</v>
      </c>
      <c r="M397">
        <v>4</v>
      </c>
    </row>
    <row r="398" spans="1:13">
      <c r="A398" t="s">
        <v>448</v>
      </c>
      <c r="B398" s="1">
        <v>45908</v>
      </c>
      <c r="C398" t="s">
        <v>34</v>
      </c>
      <c r="D398" t="s">
        <v>35</v>
      </c>
      <c r="E398" t="s">
        <v>26</v>
      </c>
      <c r="F398" t="s">
        <v>27</v>
      </c>
      <c r="G398" t="s">
        <v>37</v>
      </c>
      <c r="H398">
        <v>1</v>
      </c>
      <c r="I398" s="3">
        <v>699</v>
      </c>
      <c r="J398" s="4">
        <v>0</v>
      </c>
      <c r="K398" s="5">
        <v>699</v>
      </c>
      <c r="L398" t="s">
        <v>23</v>
      </c>
      <c r="M398">
        <v>4</v>
      </c>
    </row>
    <row r="399" spans="1:13">
      <c r="A399" t="s">
        <v>449</v>
      </c>
      <c r="B399" s="1">
        <v>45908</v>
      </c>
      <c r="C399" t="s">
        <v>44</v>
      </c>
      <c r="D399" t="s">
        <v>45</v>
      </c>
      <c r="E399" t="s">
        <v>20</v>
      </c>
      <c r="F399" t="s">
        <v>55</v>
      </c>
      <c r="G399" t="s">
        <v>37</v>
      </c>
      <c r="H399">
        <v>1</v>
      </c>
      <c r="I399" s="3">
        <v>35</v>
      </c>
      <c r="J399" s="4">
        <v>0</v>
      </c>
      <c r="K399" s="5">
        <v>35</v>
      </c>
      <c r="L399" t="s">
        <v>23</v>
      </c>
      <c r="M399">
        <v>1</v>
      </c>
    </row>
    <row r="400" spans="1:13">
      <c r="A400" t="s">
        <v>450</v>
      </c>
      <c r="B400" s="1">
        <v>45908</v>
      </c>
      <c r="C400" t="s">
        <v>14</v>
      </c>
      <c r="D400" t="s">
        <v>15</v>
      </c>
      <c r="E400" t="s">
        <v>48</v>
      </c>
      <c r="F400" t="s">
        <v>49</v>
      </c>
      <c r="G400" t="s">
        <v>22</v>
      </c>
      <c r="H400">
        <v>1</v>
      </c>
      <c r="I400" s="3">
        <v>3990</v>
      </c>
      <c r="J400" s="4">
        <v>0.1</v>
      </c>
      <c r="K400" s="5">
        <v>3591</v>
      </c>
      <c r="L400" t="s">
        <v>23</v>
      </c>
      <c r="M400">
        <v>5</v>
      </c>
    </row>
    <row r="401" spans="1:13">
      <c r="A401" t="s">
        <v>451</v>
      </c>
      <c r="B401" s="1">
        <v>45909</v>
      </c>
      <c r="C401" t="s">
        <v>40</v>
      </c>
      <c r="D401" t="s">
        <v>41</v>
      </c>
      <c r="E401" t="s">
        <v>26</v>
      </c>
      <c r="F401" t="s">
        <v>60</v>
      </c>
      <c r="G401" t="s">
        <v>22</v>
      </c>
      <c r="H401">
        <v>1</v>
      </c>
      <c r="I401" s="3">
        <v>1890</v>
      </c>
      <c r="J401" s="4">
        <v>0</v>
      </c>
      <c r="K401" s="5">
        <v>1890</v>
      </c>
      <c r="L401" t="s">
        <v>23</v>
      </c>
      <c r="M401">
        <v>5</v>
      </c>
    </row>
    <row r="402" spans="1:13">
      <c r="A402" t="s">
        <v>452</v>
      </c>
      <c r="B402" s="1">
        <v>45909</v>
      </c>
      <c r="C402" t="s">
        <v>54</v>
      </c>
      <c r="D402" t="s">
        <v>35</v>
      </c>
      <c r="E402" t="s">
        <v>16</v>
      </c>
      <c r="F402" t="s">
        <v>46</v>
      </c>
      <c r="G402" t="s">
        <v>2</v>
      </c>
      <c r="H402">
        <v>1</v>
      </c>
      <c r="I402" s="3">
        <v>29</v>
      </c>
      <c r="J402" s="4">
        <v>0</v>
      </c>
      <c r="K402" s="5">
        <v>29</v>
      </c>
      <c r="L402" t="s">
        <v>23</v>
      </c>
      <c r="M402">
        <v>3</v>
      </c>
    </row>
    <row r="403" spans="1:13">
      <c r="A403" t="s">
        <v>453</v>
      </c>
      <c r="B403" s="1">
        <v>45910</v>
      </c>
      <c r="C403" t="s">
        <v>34</v>
      </c>
      <c r="D403" t="s">
        <v>35</v>
      </c>
      <c r="E403" t="s">
        <v>20</v>
      </c>
      <c r="F403" t="s">
        <v>75</v>
      </c>
      <c r="G403" t="s">
        <v>2</v>
      </c>
      <c r="H403">
        <v>2</v>
      </c>
      <c r="I403" s="3">
        <v>45</v>
      </c>
      <c r="J403" s="4">
        <v>0</v>
      </c>
      <c r="K403" s="5">
        <v>90</v>
      </c>
      <c r="L403" t="s">
        <v>23</v>
      </c>
      <c r="M403">
        <v>2</v>
      </c>
    </row>
    <row r="404" spans="1:13">
      <c r="A404" t="s">
        <v>454</v>
      </c>
      <c r="B404" s="1">
        <v>45910</v>
      </c>
      <c r="C404" t="s">
        <v>40</v>
      </c>
      <c r="D404" t="s">
        <v>41</v>
      </c>
      <c r="E404" t="s">
        <v>20</v>
      </c>
      <c r="F404" t="s">
        <v>42</v>
      </c>
      <c r="G404" t="s">
        <v>2</v>
      </c>
      <c r="H404">
        <v>3</v>
      </c>
      <c r="I404" s="3">
        <v>59</v>
      </c>
      <c r="J404" s="4">
        <v>0</v>
      </c>
      <c r="K404" s="5">
        <v>177</v>
      </c>
      <c r="L404" t="s">
        <v>23</v>
      </c>
      <c r="M404">
        <v>3</v>
      </c>
    </row>
    <row r="405" spans="1:13">
      <c r="A405" t="s">
        <v>455</v>
      </c>
      <c r="B405" s="1">
        <v>45910</v>
      </c>
      <c r="C405" t="s">
        <v>44</v>
      </c>
      <c r="D405" t="s">
        <v>45</v>
      </c>
      <c r="E405" t="s">
        <v>20</v>
      </c>
      <c r="F405" t="s">
        <v>42</v>
      </c>
      <c r="G405" t="s">
        <v>2</v>
      </c>
      <c r="H405">
        <v>1</v>
      </c>
      <c r="I405" s="3">
        <v>59</v>
      </c>
      <c r="J405" s="4">
        <v>0</v>
      </c>
      <c r="K405" s="5">
        <v>59</v>
      </c>
      <c r="L405" t="s">
        <v>51</v>
      </c>
      <c r="M405">
        <v>1</v>
      </c>
    </row>
    <row r="406" spans="1:13">
      <c r="A406" t="s">
        <v>456</v>
      </c>
      <c r="B406" s="1">
        <v>45911</v>
      </c>
      <c r="C406" t="s">
        <v>40</v>
      </c>
      <c r="D406" t="s">
        <v>41</v>
      </c>
      <c r="E406" t="s">
        <v>48</v>
      </c>
      <c r="F406" t="s">
        <v>79</v>
      </c>
      <c r="G406" t="s">
        <v>2</v>
      </c>
      <c r="H406">
        <v>1</v>
      </c>
      <c r="I406" s="3">
        <v>1790</v>
      </c>
      <c r="J406" s="4">
        <v>0</v>
      </c>
      <c r="K406" s="5">
        <v>1790</v>
      </c>
      <c r="L406" t="s">
        <v>18</v>
      </c>
      <c r="M406">
        <v>4</v>
      </c>
    </row>
    <row r="407" spans="1:13">
      <c r="A407" t="s">
        <v>457</v>
      </c>
      <c r="B407" s="1">
        <v>45911</v>
      </c>
      <c r="C407" t="s">
        <v>40</v>
      </c>
      <c r="D407" t="s">
        <v>41</v>
      </c>
      <c r="E407" t="s">
        <v>62</v>
      </c>
      <c r="F407" t="s">
        <v>63</v>
      </c>
      <c r="G407" t="s">
        <v>2</v>
      </c>
      <c r="H407">
        <v>1</v>
      </c>
      <c r="I407" s="3">
        <v>2490</v>
      </c>
      <c r="J407" s="4">
        <v>0</v>
      </c>
      <c r="K407" s="5">
        <v>2490</v>
      </c>
      <c r="L407" t="s">
        <v>23</v>
      </c>
      <c r="M407">
        <v>5</v>
      </c>
    </row>
    <row r="408" spans="1:13">
      <c r="A408" t="s">
        <v>458</v>
      </c>
      <c r="B408" s="1">
        <v>45912</v>
      </c>
      <c r="C408" t="s">
        <v>31</v>
      </c>
      <c r="D408" t="s">
        <v>15</v>
      </c>
      <c r="E408" t="s">
        <v>26</v>
      </c>
      <c r="F408" t="s">
        <v>27</v>
      </c>
      <c r="G408" t="s">
        <v>2</v>
      </c>
      <c r="H408">
        <v>1</v>
      </c>
      <c r="I408" s="3">
        <v>699</v>
      </c>
      <c r="J408" s="4">
        <v>0.1</v>
      </c>
      <c r="K408" s="5">
        <v>629.1</v>
      </c>
      <c r="L408" t="s">
        <v>23</v>
      </c>
      <c r="M408">
        <v>4</v>
      </c>
    </row>
    <row r="409" spans="1:13">
      <c r="A409" t="s">
        <v>459</v>
      </c>
      <c r="B409" s="1">
        <v>45913</v>
      </c>
      <c r="C409" t="s">
        <v>31</v>
      </c>
      <c r="D409" t="s">
        <v>15</v>
      </c>
      <c r="E409" t="s">
        <v>62</v>
      </c>
      <c r="F409" t="s">
        <v>63</v>
      </c>
      <c r="G409" t="s">
        <v>2</v>
      </c>
      <c r="H409">
        <v>1</v>
      </c>
      <c r="I409" s="3">
        <v>2490</v>
      </c>
      <c r="J409" s="4">
        <v>0</v>
      </c>
      <c r="K409" s="5">
        <v>2490</v>
      </c>
      <c r="L409" t="s">
        <v>51</v>
      </c>
      <c r="M409">
        <v>5</v>
      </c>
    </row>
    <row r="410" spans="1:13">
      <c r="A410" t="s">
        <v>460</v>
      </c>
      <c r="B410" s="1">
        <v>45913</v>
      </c>
      <c r="C410" t="s">
        <v>34</v>
      </c>
      <c r="D410" t="s">
        <v>35</v>
      </c>
      <c r="E410" t="s">
        <v>48</v>
      </c>
      <c r="F410" t="s">
        <v>65</v>
      </c>
      <c r="G410" t="s">
        <v>22</v>
      </c>
      <c r="H410">
        <v>1</v>
      </c>
      <c r="I410" s="3">
        <v>2590</v>
      </c>
      <c r="J410" s="4">
        <v>0</v>
      </c>
      <c r="K410" s="5">
        <v>2590</v>
      </c>
      <c r="L410" t="s">
        <v>23</v>
      </c>
      <c r="M410">
        <v>4</v>
      </c>
    </row>
    <row r="411" spans="1:13">
      <c r="A411" t="s">
        <v>461</v>
      </c>
      <c r="B411" s="1">
        <v>45914</v>
      </c>
      <c r="C411" t="s">
        <v>14</v>
      </c>
      <c r="D411" t="s">
        <v>15</v>
      </c>
      <c r="E411" t="s">
        <v>26</v>
      </c>
      <c r="F411" t="s">
        <v>60</v>
      </c>
      <c r="G411" t="s">
        <v>22</v>
      </c>
      <c r="H411">
        <v>1</v>
      </c>
      <c r="I411" s="3">
        <v>1890</v>
      </c>
      <c r="J411" s="4">
        <v>0.15</v>
      </c>
      <c r="K411" s="5">
        <v>1606.5</v>
      </c>
      <c r="L411" t="s">
        <v>18</v>
      </c>
      <c r="M411">
        <v>4</v>
      </c>
    </row>
    <row r="412" spans="1:13">
      <c r="A412" t="s">
        <v>462</v>
      </c>
      <c r="B412" s="1">
        <v>45914</v>
      </c>
      <c r="C412" t="s">
        <v>54</v>
      </c>
      <c r="D412" t="s">
        <v>35</v>
      </c>
      <c r="E412" t="s">
        <v>62</v>
      </c>
      <c r="F412" t="s">
        <v>63</v>
      </c>
      <c r="G412" t="s">
        <v>2</v>
      </c>
      <c r="H412">
        <v>1</v>
      </c>
      <c r="I412" s="3">
        <v>2490</v>
      </c>
      <c r="J412" s="4">
        <v>0.05</v>
      </c>
      <c r="K412" s="5">
        <v>2365.5</v>
      </c>
      <c r="L412" t="s">
        <v>38</v>
      </c>
      <c r="M412">
        <v>4</v>
      </c>
    </row>
    <row r="413" spans="1:13">
      <c r="A413" t="s">
        <v>463</v>
      </c>
      <c r="B413" s="1">
        <v>45914</v>
      </c>
      <c r="C413" t="s">
        <v>34</v>
      </c>
      <c r="D413" t="s">
        <v>35</v>
      </c>
      <c r="E413" t="s">
        <v>20</v>
      </c>
      <c r="F413" t="s">
        <v>75</v>
      </c>
      <c r="G413" t="s">
        <v>2</v>
      </c>
      <c r="H413">
        <v>4</v>
      </c>
      <c r="I413" s="3">
        <v>45</v>
      </c>
      <c r="J413" s="4">
        <v>0</v>
      </c>
      <c r="K413" s="5">
        <v>180</v>
      </c>
      <c r="L413" t="s">
        <v>23</v>
      </c>
      <c r="M413">
        <v>3</v>
      </c>
    </row>
    <row r="414" spans="1:13">
      <c r="A414" t="s">
        <v>464</v>
      </c>
      <c r="B414" s="1">
        <v>45915</v>
      </c>
      <c r="C414" t="s">
        <v>44</v>
      </c>
      <c r="D414" t="s">
        <v>45</v>
      </c>
      <c r="E414" t="s">
        <v>16</v>
      </c>
      <c r="F414" t="s">
        <v>32</v>
      </c>
      <c r="G414" t="s">
        <v>2</v>
      </c>
      <c r="H414">
        <v>1</v>
      </c>
      <c r="I414" s="3">
        <v>89</v>
      </c>
      <c r="J414" s="4">
        <v>0.1</v>
      </c>
      <c r="K414" s="5">
        <v>80.099999999999994</v>
      </c>
      <c r="L414" t="s">
        <v>23</v>
      </c>
      <c r="M414">
        <v>4</v>
      </c>
    </row>
    <row r="415" spans="1:13">
      <c r="A415" t="s">
        <v>465</v>
      </c>
      <c r="B415" s="1">
        <v>45916</v>
      </c>
      <c r="C415" t="s">
        <v>54</v>
      </c>
      <c r="D415" t="s">
        <v>35</v>
      </c>
      <c r="E415" t="s">
        <v>20</v>
      </c>
      <c r="F415" t="s">
        <v>42</v>
      </c>
      <c r="G415" t="s">
        <v>37</v>
      </c>
      <c r="H415">
        <v>2</v>
      </c>
      <c r="I415" s="3">
        <v>59</v>
      </c>
      <c r="J415" s="4">
        <v>0</v>
      </c>
      <c r="K415" s="5">
        <v>118</v>
      </c>
      <c r="L415" t="s">
        <v>23</v>
      </c>
    </row>
    <row r="416" spans="1:13">
      <c r="A416" t="s">
        <v>466</v>
      </c>
      <c r="B416" s="1">
        <v>45916</v>
      </c>
      <c r="C416" t="s">
        <v>31</v>
      </c>
      <c r="D416" t="s">
        <v>15</v>
      </c>
      <c r="E416" t="s">
        <v>20</v>
      </c>
      <c r="F416" t="s">
        <v>55</v>
      </c>
      <c r="G416" t="s">
        <v>22</v>
      </c>
      <c r="H416">
        <v>1</v>
      </c>
      <c r="I416" s="3">
        <v>35</v>
      </c>
      <c r="J416" s="4">
        <v>0</v>
      </c>
      <c r="K416" s="5">
        <v>35</v>
      </c>
      <c r="L416" t="s">
        <v>23</v>
      </c>
      <c r="M416">
        <v>4</v>
      </c>
    </row>
    <row r="417" spans="1:13">
      <c r="A417" t="s">
        <v>467</v>
      </c>
      <c r="B417" s="1">
        <v>45916</v>
      </c>
      <c r="C417" t="s">
        <v>31</v>
      </c>
      <c r="D417" t="s">
        <v>15</v>
      </c>
      <c r="E417" t="s">
        <v>16</v>
      </c>
      <c r="F417" t="s">
        <v>46</v>
      </c>
      <c r="G417" t="s">
        <v>2</v>
      </c>
      <c r="H417">
        <v>1</v>
      </c>
      <c r="I417" s="3">
        <v>29</v>
      </c>
      <c r="J417" s="4">
        <v>0</v>
      </c>
      <c r="K417" s="5">
        <v>29</v>
      </c>
      <c r="L417" t="s">
        <v>23</v>
      </c>
      <c r="M417">
        <v>2</v>
      </c>
    </row>
    <row r="418" spans="1:13">
      <c r="A418" t="s">
        <v>468</v>
      </c>
      <c r="B418" s="1">
        <v>45917</v>
      </c>
      <c r="C418" t="s">
        <v>57</v>
      </c>
      <c r="D418" t="s">
        <v>15</v>
      </c>
      <c r="E418" t="s">
        <v>16</v>
      </c>
      <c r="F418" t="s">
        <v>17</v>
      </c>
      <c r="G418" t="s">
        <v>2</v>
      </c>
      <c r="H418">
        <v>1</v>
      </c>
      <c r="I418" s="3">
        <v>19</v>
      </c>
      <c r="J418" s="4">
        <v>0</v>
      </c>
      <c r="K418" s="5">
        <v>19</v>
      </c>
      <c r="L418" t="s">
        <v>38</v>
      </c>
      <c r="M418">
        <v>4</v>
      </c>
    </row>
    <row r="419" spans="1:13">
      <c r="A419" t="s">
        <v>469</v>
      </c>
      <c r="B419" s="1">
        <v>45917</v>
      </c>
      <c r="C419" t="s">
        <v>25</v>
      </c>
      <c r="D419" t="s">
        <v>15</v>
      </c>
      <c r="E419" t="s">
        <v>62</v>
      </c>
      <c r="F419" t="s">
        <v>100</v>
      </c>
      <c r="G419" t="s">
        <v>22</v>
      </c>
      <c r="H419">
        <v>2</v>
      </c>
      <c r="I419" s="3">
        <v>1190</v>
      </c>
      <c r="J419" s="4">
        <v>0.1</v>
      </c>
      <c r="K419" s="5">
        <v>2142</v>
      </c>
      <c r="L419" t="s">
        <v>23</v>
      </c>
      <c r="M419">
        <v>5</v>
      </c>
    </row>
    <row r="420" spans="1:13">
      <c r="A420" t="s">
        <v>470</v>
      </c>
      <c r="B420" s="1">
        <v>45917</v>
      </c>
      <c r="C420" t="s">
        <v>54</v>
      </c>
      <c r="D420" t="s">
        <v>35</v>
      </c>
      <c r="E420" t="s">
        <v>48</v>
      </c>
      <c r="F420" t="s">
        <v>79</v>
      </c>
      <c r="G420" t="s">
        <v>2</v>
      </c>
      <c r="H420">
        <v>2</v>
      </c>
      <c r="I420" s="3">
        <v>1790</v>
      </c>
      <c r="J420" s="4">
        <v>0</v>
      </c>
      <c r="K420" s="5">
        <v>3580</v>
      </c>
      <c r="L420" t="s">
        <v>23</v>
      </c>
      <c r="M420">
        <v>4</v>
      </c>
    </row>
    <row r="421" spans="1:13">
      <c r="A421" t="s">
        <v>471</v>
      </c>
      <c r="B421" s="1">
        <v>45920</v>
      </c>
      <c r="C421" t="s">
        <v>34</v>
      </c>
      <c r="D421" t="s">
        <v>35</v>
      </c>
      <c r="E421" t="s">
        <v>16</v>
      </c>
      <c r="F421" t="s">
        <v>17</v>
      </c>
      <c r="G421" t="s">
        <v>2</v>
      </c>
      <c r="H421">
        <v>1</v>
      </c>
      <c r="I421" s="3">
        <v>19</v>
      </c>
      <c r="J421" s="4">
        <v>0.2</v>
      </c>
      <c r="K421" s="5">
        <v>15.2</v>
      </c>
      <c r="L421" t="s">
        <v>23</v>
      </c>
      <c r="M421">
        <v>4</v>
      </c>
    </row>
    <row r="422" spans="1:13">
      <c r="A422" t="s">
        <v>472</v>
      </c>
      <c r="B422" s="1">
        <v>45920</v>
      </c>
      <c r="C422" t="s">
        <v>54</v>
      </c>
      <c r="D422" t="s">
        <v>35</v>
      </c>
      <c r="E422" t="s">
        <v>48</v>
      </c>
      <c r="F422" t="s">
        <v>65</v>
      </c>
      <c r="G422" t="s">
        <v>2</v>
      </c>
      <c r="H422">
        <v>1</v>
      </c>
      <c r="I422" s="3">
        <v>2590</v>
      </c>
      <c r="J422" s="4">
        <v>0</v>
      </c>
      <c r="K422" s="5">
        <v>2590</v>
      </c>
      <c r="L422" t="s">
        <v>23</v>
      </c>
      <c r="M422">
        <v>5</v>
      </c>
    </row>
    <row r="423" spans="1:13">
      <c r="A423" t="s">
        <v>473</v>
      </c>
      <c r="B423" s="1">
        <v>45921</v>
      </c>
      <c r="C423" t="s">
        <v>34</v>
      </c>
      <c r="D423" t="s">
        <v>35</v>
      </c>
      <c r="E423" t="s">
        <v>48</v>
      </c>
      <c r="F423" t="s">
        <v>49</v>
      </c>
      <c r="G423" t="s">
        <v>2</v>
      </c>
      <c r="H423">
        <v>1</v>
      </c>
      <c r="I423" s="3">
        <v>3990</v>
      </c>
      <c r="J423" s="4">
        <v>0.15</v>
      </c>
      <c r="K423" s="5">
        <v>3391.5</v>
      </c>
      <c r="L423" t="s">
        <v>23</v>
      </c>
      <c r="M423">
        <v>4</v>
      </c>
    </row>
    <row r="424" spans="1:13">
      <c r="A424" t="s">
        <v>474</v>
      </c>
      <c r="B424" s="1">
        <v>45922</v>
      </c>
      <c r="C424" t="s">
        <v>54</v>
      </c>
      <c r="D424" t="s">
        <v>35</v>
      </c>
      <c r="E424" t="s">
        <v>20</v>
      </c>
      <c r="F424" t="s">
        <v>21</v>
      </c>
      <c r="G424" t="s">
        <v>2</v>
      </c>
      <c r="H424">
        <v>1</v>
      </c>
      <c r="I424" s="3">
        <v>69</v>
      </c>
      <c r="J424" s="4">
        <v>0.2</v>
      </c>
      <c r="K424" s="5">
        <v>55.2</v>
      </c>
      <c r="L424" t="s">
        <v>38</v>
      </c>
      <c r="M424">
        <v>4</v>
      </c>
    </row>
    <row r="425" spans="1:13">
      <c r="A425" t="s">
        <v>475</v>
      </c>
      <c r="B425" s="1">
        <v>45922</v>
      </c>
      <c r="C425" t="s">
        <v>54</v>
      </c>
      <c r="D425" t="s">
        <v>35</v>
      </c>
      <c r="E425" t="s">
        <v>16</v>
      </c>
      <c r="F425" t="s">
        <v>17</v>
      </c>
      <c r="G425" t="s">
        <v>2</v>
      </c>
      <c r="H425">
        <v>1</v>
      </c>
      <c r="I425" s="3">
        <v>19</v>
      </c>
      <c r="J425" s="4">
        <v>0</v>
      </c>
      <c r="K425" s="5">
        <v>19</v>
      </c>
      <c r="L425" t="s">
        <v>23</v>
      </c>
      <c r="M425">
        <v>3</v>
      </c>
    </row>
    <row r="426" spans="1:13">
      <c r="A426" t="s">
        <v>476</v>
      </c>
      <c r="B426" s="1">
        <v>45922</v>
      </c>
      <c r="C426" t="s">
        <v>25</v>
      </c>
      <c r="D426" t="s">
        <v>15</v>
      </c>
      <c r="E426" t="s">
        <v>62</v>
      </c>
      <c r="F426" t="s">
        <v>63</v>
      </c>
      <c r="G426" t="s">
        <v>2</v>
      </c>
      <c r="H426">
        <v>1</v>
      </c>
      <c r="I426" s="3">
        <v>2490</v>
      </c>
      <c r="J426" s="4">
        <v>0.05</v>
      </c>
      <c r="K426" s="5">
        <v>2365.5</v>
      </c>
      <c r="L426" t="s">
        <v>23</v>
      </c>
      <c r="M426">
        <v>5</v>
      </c>
    </row>
    <row r="427" spans="1:13">
      <c r="A427" t="s">
        <v>477</v>
      </c>
      <c r="B427" s="1">
        <v>45923</v>
      </c>
      <c r="C427" t="s">
        <v>31</v>
      </c>
      <c r="D427" t="s">
        <v>15</v>
      </c>
      <c r="E427" t="s">
        <v>16</v>
      </c>
      <c r="F427" t="s">
        <v>17</v>
      </c>
      <c r="G427" t="s">
        <v>2</v>
      </c>
      <c r="H427">
        <v>1</v>
      </c>
      <c r="I427" s="3">
        <v>19</v>
      </c>
      <c r="J427" s="4">
        <v>0.2</v>
      </c>
      <c r="K427" s="5">
        <v>15.2</v>
      </c>
      <c r="L427" t="s">
        <v>38</v>
      </c>
      <c r="M427">
        <v>2</v>
      </c>
    </row>
    <row r="428" spans="1:13">
      <c r="A428" t="s">
        <v>478</v>
      </c>
      <c r="B428" s="1">
        <v>45924</v>
      </c>
      <c r="C428" t="s">
        <v>14</v>
      </c>
      <c r="D428" t="s">
        <v>15</v>
      </c>
      <c r="E428" t="s">
        <v>48</v>
      </c>
      <c r="F428" t="s">
        <v>49</v>
      </c>
      <c r="G428" t="s">
        <v>2</v>
      </c>
      <c r="H428">
        <v>2</v>
      </c>
      <c r="I428" s="3">
        <v>3990</v>
      </c>
      <c r="J428" s="4">
        <v>0</v>
      </c>
      <c r="K428" s="5">
        <v>7980</v>
      </c>
      <c r="L428" t="s">
        <v>38</v>
      </c>
      <c r="M428">
        <v>5</v>
      </c>
    </row>
    <row r="429" spans="1:13">
      <c r="A429" t="s">
        <v>479</v>
      </c>
      <c r="B429" s="1">
        <v>45924</v>
      </c>
      <c r="C429" t="s">
        <v>54</v>
      </c>
      <c r="D429" t="s">
        <v>35</v>
      </c>
      <c r="E429" t="s">
        <v>20</v>
      </c>
      <c r="F429" t="s">
        <v>55</v>
      </c>
      <c r="G429" t="s">
        <v>2</v>
      </c>
      <c r="H429">
        <v>4</v>
      </c>
      <c r="I429" s="3">
        <v>35</v>
      </c>
      <c r="J429" s="4">
        <v>0</v>
      </c>
      <c r="K429" s="5">
        <v>140</v>
      </c>
      <c r="L429" t="s">
        <v>23</v>
      </c>
      <c r="M429">
        <v>5</v>
      </c>
    </row>
    <row r="430" spans="1:13">
      <c r="A430" t="s">
        <v>480</v>
      </c>
      <c r="B430" s="1">
        <v>45925</v>
      </c>
      <c r="C430" t="s">
        <v>14</v>
      </c>
      <c r="D430" t="s">
        <v>15</v>
      </c>
      <c r="E430" t="s">
        <v>16</v>
      </c>
      <c r="F430" t="s">
        <v>17</v>
      </c>
      <c r="G430" t="s">
        <v>2</v>
      </c>
      <c r="H430">
        <v>1</v>
      </c>
      <c r="I430" s="3">
        <v>19</v>
      </c>
      <c r="J430" s="4">
        <v>0</v>
      </c>
      <c r="K430" s="5">
        <v>19</v>
      </c>
      <c r="L430" t="s">
        <v>23</v>
      </c>
      <c r="M430">
        <v>4</v>
      </c>
    </row>
    <row r="431" spans="1:13">
      <c r="A431" t="s">
        <v>481</v>
      </c>
      <c r="B431" s="1">
        <v>45926</v>
      </c>
      <c r="C431" t="s">
        <v>40</v>
      </c>
      <c r="D431" t="s">
        <v>41</v>
      </c>
      <c r="E431" t="s">
        <v>16</v>
      </c>
      <c r="F431" t="s">
        <v>17</v>
      </c>
      <c r="G431" t="s">
        <v>2</v>
      </c>
      <c r="H431">
        <v>2</v>
      </c>
      <c r="I431" s="3">
        <v>19</v>
      </c>
      <c r="J431" s="4">
        <v>0.1</v>
      </c>
      <c r="K431" s="5">
        <v>34.200000000000003</v>
      </c>
      <c r="L431" t="s">
        <v>23</v>
      </c>
      <c r="M431">
        <v>2</v>
      </c>
    </row>
    <row r="432" spans="1:13">
      <c r="A432" t="s">
        <v>482</v>
      </c>
      <c r="B432" s="1">
        <v>45926</v>
      </c>
      <c r="C432" t="s">
        <v>54</v>
      </c>
      <c r="D432" t="s">
        <v>35</v>
      </c>
      <c r="E432" t="s">
        <v>26</v>
      </c>
      <c r="F432" t="s">
        <v>27</v>
      </c>
      <c r="G432" t="s">
        <v>37</v>
      </c>
      <c r="H432">
        <v>1</v>
      </c>
      <c r="I432" s="3">
        <v>699</v>
      </c>
      <c r="J432" s="4">
        <v>0.1</v>
      </c>
      <c r="K432" s="5">
        <v>629.1</v>
      </c>
      <c r="L432" t="s">
        <v>23</v>
      </c>
    </row>
    <row r="433" spans="1:13">
      <c r="A433" t="s">
        <v>483</v>
      </c>
      <c r="B433" s="1">
        <v>45927</v>
      </c>
      <c r="C433" t="s">
        <v>25</v>
      </c>
      <c r="D433" t="s">
        <v>15</v>
      </c>
      <c r="E433" t="s">
        <v>16</v>
      </c>
      <c r="F433" t="s">
        <v>17</v>
      </c>
      <c r="G433" t="s">
        <v>2</v>
      </c>
      <c r="H433">
        <v>2</v>
      </c>
      <c r="I433" s="3">
        <v>19</v>
      </c>
      <c r="J433" s="4">
        <v>0</v>
      </c>
      <c r="K433" s="5">
        <v>38</v>
      </c>
      <c r="L433" t="s">
        <v>38</v>
      </c>
      <c r="M433">
        <v>5</v>
      </c>
    </row>
    <row r="434" spans="1:13">
      <c r="A434" t="s">
        <v>484</v>
      </c>
      <c r="B434" s="1">
        <v>45927</v>
      </c>
      <c r="C434" t="s">
        <v>54</v>
      </c>
      <c r="D434" t="s">
        <v>35</v>
      </c>
      <c r="E434" t="s">
        <v>20</v>
      </c>
      <c r="F434" t="s">
        <v>21</v>
      </c>
      <c r="G434" t="s">
        <v>22</v>
      </c>
      <c r="H434">
        <v>3</v>
      </c>
      <c r="I434" s="3">
        <v>69</v>
      </c>
      <c r="J434" s="4">
        <v>0</v>
      </c>
      <c r="K434" s="5">
        <v>207</v>
      </c>
      <c r="L434" t="s">
        <v>23</v>
      </c>
      <c r="M434">
        <v>4</v>
      </c>
    </row>
    <row r="435" spans="1:13">
      <c r="A435" t="s">
        <v>485</v>
      </c>
      <c r="B435" s="1">
        <v>45927</v>
      </c>
      <c r="C435" t="s">
        <v>34</v>
      </c>
      <c r="D435" t="s">
        <v>35</v>
      </c>
      <c r="E435" t="s">
        <v>20</v>
      </c>
      <c r="F435" t="s">
        <v>42</v>
      </c>
      <c r="G435" t="s">
        <v>2</v>
      </c>
      <c r="H435">
        <v>3</v>
      </c>
      <c r="I435" s="3">
        <v>59</v>
      </c>
      <c r="J435" s="4">
        <v>0</v>
      </c>
      <c r="K435" s="5">
        <v>177</v>
      </c>
      <c r="L435" t="s">
        <v>23</v>
      </c>
      <c r="M435">
        <v>5</v>
      </c>
    </row>
    <row r="436" spans="1:13">
      <c r="A436" t="s">
        <v>486</v>
      </c>
      <c r="B436" s="1">
        <v>45928</v>
      </c>
      <c r="C436" t="s">
        <v>44</v>
      </c>
      <c r="D436" t="s">
        <v>45</v>
      </c>
      <c r="E436" t="s">
        <v>62</v>
      </c>
      <c r="F436" t="s">
        <v>77</v>
      </c>
      <c r="G436" t="s">
        <v>22</v>
      </c>
      <c r="H436">
        <v>1</v>
      </c>
      <c r="I436" s="3">
        <v>899</v>
      </c>
      <c r="J436" s="4">
        <v>0.05</v>
      </c>
      <c r="K436" s="5">
        <v>854.05</v>
      </c>
      <c r="L436" t="s">
        <v>23</v>
      </c>
      <c r="M436">
        <v>4</v>
      </c>
    </row>
    <row r="437" spans="1:13">
      <c r="A437" t="s">
        <v>487</v>
      </c>
      <c r="B437" s="1">
        <v>45928</v>
      </c>
      <c r="C437" t="s">
        <v>34</v>
      </c>
      <c r="D437" t="s">
        <v>35</v>
      </c>
      <c r="E437" t="s">
        <v>16</v>
      </c>
      <c r="F437" t="s">
        <v>32</v>
      </c>
      <c r="G437" t="s">
        <v>2</v>
      </c>
      <c r="H437">
        <v>1</v>
      </c>
      <c r="I437" s="3">
        <v>89</v>
      </c>
      <c r="J437" s="4">
        <v>0</v>
      </c>
      <c r="K437" s="5">
        <v>89</v>
      </c>
      <c r="L437" t="s">
        <v>38</v>
      </c>
      <c r="M437">
        <v>4</v>
      </c>
    </row>
    <row r="438" spans="1:13">
      <c r="A438" t="s">
        <v>488</v>
      </c>
      <c r="B438" s="1">
        <v>45928</v>
      </c>
      <c r="C438" t="s">
        <v>54</v>
      </c>
      <c r="D438" t="s">
        <v>35</v>
      </c>
      <c r="E438" t="s">
        <v>20</v>
      </c>
      <c r="F438" t="s">
        <v>55</v>
      </c>
      <c r="G438" t="s">
        <v>22</v>
      </c>
      <c r="H438">
        <v>4</v>
      </c>
      <c r="I438" s="3">
        <v>35</v>
      </c>
      <c r="J438" s="4">
        <v>0</v>
      </c>
      <c r="K438" s="5">
        <v>140</v>
      </c>
      <c r="L438" t="s">
        <v>51</v>
      </c>
      <c r="M438">
        <v>4</v>
      </c>
    </row>
    <row r="439" spans="1:13">
      <c r="A439" t="s">
        <v>489</v>
      </c>
      <c r="B439" s="1">
        <v>45929</v>
      </c>
      <c r="C439" t="s">
        <v>14</v>
      </c>
      <c r="D439" t="s">
        <v>15</v>
      </c>
      <c r="E439" t="s">
        <v>16</v>
      </c>
      <c r="F439" t="s">
        <v>46</v>
      </c>
      <c r="G439" t="s">
        <v>2</v>
      </c>
      <c r="H439">
        <v>1</v>
      </c>
      <c r="I439" s="3">
        <v>29</v>
      </c>
      <c r="J439" s="4">
        <v>0</v>
      </c>
      <c r="K439" s="5">
        <v>29</v>
      </c>
      <c r="L439" t="s">
        <v>23</v>
      </c>
      <c r="M439">
        <v>5</v>
      </c>
    </row>
    <row r="440" spans="1:13">
      <c r="A440" t="s">
        <v>490</v>
      </c>
      <c r="B440" s="1">
        <v>45929</v>
      </c>
      <c r="C440" t="s">
        <v>40</v>
      </c>
      <c r="D440" t="s">
        <v>41</v>
      </c>
      <c r="E440" t="s">
        <v>26</v>
      </c>
      <c r="F440" t="s">
        <v>27</v>
      </c>
      <c r="G440" t="s">
        <v>22</v>
      </c>
      <c r="H440">
        <v>2</v>
      </c>
      <c r="I440" s="3">
        <v>699</v>
      </c>
      <c r="J440" s="4">
        <v>0.2</v>
      </c>
      <c r="K440" s="5">
        <v>1118.4000000000001</v>
      </c>
      <c r="L440" t="s">
        <v>23</v>
      </c>
      <c r="M440">
        <v>4</v>
      </c>
    </row>
    <row r="441" spans="1:13">
      <c r="A441" t="s">
        <v>491</v>
      </c>
      <c r="B441" s="1">
        <v>45929</v>
      </c>
      <c r="C441" t="s">
        <v>14</v>
      </c>
      <c r="D441" t="s">
        <v>15</v>
      </c>
      <c r="E441" t="s">
        <v>20</v>
      </c>
      <c r="F441" t="s">
        <v>21</v>
      </c>
      <c r="G441" t="s">
        <v>37</v>
      </c>
      <c r="H441">
        <v>1</v>
      </c>
      <c r="I441" s="3">
        <v>69</v>
      </c>
      <c r="J441" s="4">
        <v>0</v>
      </c>
      <c r="K441" s="5">
        <v>69</v>
      </c>
      <c r="L441" t="s">
        <v>23</v>
      </c>
      <c r="M441">
        <v>3</v>
      </c>
    </row>
    <row r="442" spans="1:13">
      <c r="A442" t="s">
        <v>492</v>
      </c>
      <c r="B442" s="1">
        <v>45929</v>
      </c>
      <c r="C442" t="s">
        <v>25</v>
      </c>
      <c r="D442" t="s">
        <v>15</v>
      </c>
      <c r="E442" t="s">
        <v>20</v>
      </c>
      <c r="F442" t="s">
        <v>42</v>
      </c>
      <c r="G442" t="s">
        <v>22</v>
      </c>
      <c r="H442">
        <v>1</v>
      </c>
      <c r="I442" s="3">
        <v>59</v>
      </c>
      <c r="J442" s="4">
        <v>0.15</v>
      </c>
      <c r="K442" s="5">
        <v>50.15</v>
      </c>
      <c r="L442" t="s">
        <v>23</v>
      </c>
      <c r="M442">
        <v>5</v>
      </c>
    </row>
    <row r="443" spans="1:13">
      <c r="A443" t="s">
        <v>493</v>
      </c>
      <c r="B443" s="1">
        <v>45929</v>
      </c>
      <c r="C443" t="s">
        <v>57</v>
      </c>
      <c r="D443" t="s">
        <v>15</v>
      </c>
      <c r="E443" t="s">
        <v>26</v>
      </c>
      <c r="F443" t="s">
        <v>29</v>
      </c>
      <c r="G443" t="s">
        <v>37</v>
      </c>
      <c r="H443">
        <v>1</v>
      </c>
      <c r="I443" s="3">
        <v>549</v>
      </c>
      <c r="J443" s="4">
        <v>0.15</v>
      </c>
      <c r="K443" s="5">
        <v>466.65</v>
      </c>
      <c r="L443" t="s">
        <v>23</v>
      </c>
      <c r="M443">
        <v>5</v>
      </c>
    </row>
    <row r="444" spans="1:13">
      <c r="A444" t="s">
        <v>494</v>
      </c>
      <c r="B444" s="1">
        <v>45929</v>
      </c>
      <c r="C444" t="s">
        <v>34</v>
      </c>
      <c r="D444" t="s">
        <v>35</v>
      </c>
      <c r="E444" t="s">
        <v>62</v>
      </c>
      <c r="F444" t="s">
        <v>77</v>
      </c>
      <c r="G444" t="s">
        <v>2</v>
      </c>
      <c r="H444">
        <v>1</v>
      </c>
      <c r="I444" s="3">
        <v>899</v>
      </c>
      <c r="J444" s="4">
        <v>0</v>
      </c>
      <c r="K444" s="5">
        <v>899</v>
      </c>
      <c r="L444" t="s">
        <v>23</v>
      </c>
    </row>
    <row r="445" spans="1:13">
      <c r="A445" t="s">
        <v>495</v>
      </c>
      <c r="B445" s="1">
        <v>45930</v>
      </c>
      <c r="C445" t="s">
        <v>40</v>
      </c>
      <c r="D445" t="s">
        <v>41</v>
      </c>
      <c r="E445" t="s">
        <v>16</v>
      </c>
      <c r="F445" t="s">
        <v>17</v>
      </c>
      <c r="G445" t="s">
        <v>2</v>
      </c>
      <c r="H445">
        <v>1</v>
      </c>
      <c r="I445" s="3">
        <v>19</v>
      </c>
      <c r="J445" s="4">
        <v>0</v>
      </c>
      <c r="K445" s="5">
        <v>19</v>
      </c>
      <c r="L445" t="s">
        <v>23</v>
      </c>
      <c r="M445">
        <v>4</v>
      </c>
    </row>
    <row r="446" spans="1:13">
      <c r="A446" t="s">
        <v>496</v>
      </c>
      <c r="B446" s="1">
        <v>45932</v>
      </c>
      <c r="C446" t="s">
        <v>31</v>
      </c>
      <c r="D446" t="s">
        <v>15</v>
      </c>
      <c r="E446" t="s">
        <v>26</v>
      </c>
      <c r="F446" t="s">
        <v>60</v>
      </c>
      <c r="G446" t="s">
        <v>2</v>
      </c>
      <c r="H446">
        <v>1</v>
      </c>
      <c r="I446" s="3">
        <v>1890</v>
      </c>
      <c r="J446" s="4">
        <v>0.1</v>
      </c>
      <c r="K446" s="5">
        <v>1701</v>
      </c>
      <c r="L446" t="s">
        <v>51</v>
      </c>
      <c r="M446">
        <v>5</v>
      </c>
    </row>
    <row r="447" spans="1:13">
      <c r="A447" t="s">
        <v>497</v>
      </c>
      <c r="B447" s="1">
        <v>45932</v>
      </c>
      <c r="C447" t="s">
        <v>31</v>
      </c>
      <c r="D447" t="s">
        <v>15</v>
      </c>
      <c r="E447" t="s">
        <v>26</v>
      </c>
      <c r="F447" t="s">
        <v>29</v>
      </c>
      <c r="G447" t="s">
        <v>22</v>
      </c>
      <c r="H447">
        <v>1</v>
      </c>
      <c r="I447" s="3">
        <v>549</v>
      </c>
      <c r="J447" s="4">
        <v>0</v>
      </c>
      <c r="K447" s="5">
        <v>549</v>
      </c>
      <c r="L447" t="s">
        <v>23</v>
      </c>
      <c r="M447">
        <v>5</v>
      </c>
    </row>
    <row r="448" spans="1:13">
      <c r="A448" t="s">
        <v>498</v>
      </c>
      <c r="B448" s="1">
        <v>45932</v>
      </c>
      <c r="C448" t="s">
        <v>31</v>
      </c>
      <c r="D448" t="s">
        <v>15</v>
      </c>
      <c r="E448" t="s">
        <v>26</v>
      </c>
      <c r="F448" t="s">
        <v>27</v>
      </c>
      <c r="G448" t="s">
        <v>2</v>
      </c>
      <c r="H448">
        <v>1</v>
      </c>
      <c r="I448" s="3">
        <v>699</v>
      </c>
      <c r="J448" s="4">
        <v>0</v>
      </c>
      <c r="K448" s="5">
        <v>699</v>
      </c>
      <c r="L448" t="s">
        <v>51</v>
      </c>
    </row>
    <row r="449" spans="1:13">
      <c r="A449" t="s">
        <v>499</v>
      </c>
      <c r="B449" s="1">
        <v>45933</v>
      </c>
      <c r="C449" t="s">
        <v>57</v>
      </c>
      <c r="D449" t="s">
        <v>15</v>
      </c>
      <c r="E449" t="s">
        <v>16</v>
      </c>
      <c r="F449" t="s">
        <v>32</v>
      </c>
      <c r="G449" t="s">
        <v>2</v>
      </c>
      <c r="H449">
        <v>1</v>
      </c>
      <c r="I449" s="3">
        <v>89</v>
      </c>
      <c r="J449" s="4">
        <v>0.05</v>
      </c>
      <c r="K449" s="5">
        <v>84.55</v>
      </c>
      <c r="L449" t="s">
        <v>23</v>
      </c>
      <c r="M449">
        <v>4</v>
      </c>
    </row>
    <row r="450" spans="1:13">
      <c r="A450" t="s">
        <v>500</v>
      </c>
      <c r="B450" s="1">
        <v>45935</v>
      </c>
      <c r="C450" t="s">
        <v>44</v>
      </c>
      <c r="D450" t="s">
        <v>45</v>
      </c>
      <c r="E450" t="s">
        <v>26</v>
      </c>
      <c r="F450" t="s">
        <v>29</v>
      </c>
      <c r="G450" t="s">
        <v>37</v>
      </c>
      <c r="H450">
        <v>1</v>
      </c>
      <c r="I450" s="3">
        <v>549</v>
      </c>
      <c r="J450" s="4">
        <v>0</v>
      </c>
      <c r="K450" s="5">
        <v>549</v>
      </c>
      <c r="L450" t="s">
        <v>38</v>
      </c>
      <c r="M450">
        <v>5</v>
      </c>
    </row>
    <row r="451" spans="1:13">
      <c r="A451" t="s">
        <v>501</v>
      </c>
      <c r="B451" s="1">
        <v>45935</v>
      </c>
      <c r="C451" t="s">
        <v>34</v>
      </c>
      <c r="D451" t="s">
        <v>35</v>
      </c>
      <c r="E451" t="s">
        <v>20</v>
      </c>
      <c r="F451" t="s">
        <v>75</v>
      </c>
      <c r="G451" t="s">
        <v>37</v>
      </c>
      <c r="H451">
        <v>1</v>
      </c>
      <c r="I451" s="3">
        <v>45</v>
      </c>
      <c r="J451" s="4">
        <v>0</v>
      </c>
      <c r="K451" s="5">
        <v>45</v>
      </c>
      <c r="L451" t="s">
        <v>38</v>
      </c>
      <c r="M451">
        <v>4</v>
      </c>
    </row>
    <row r="452" spans="1:13">
      <c r="A452" t="s">
        <v>502</v>
      </c>
      <c r="B452" s="1">
        <v>45936</v>
      </c>
      <c r="C452" t="s">
        <v>31</v>
      </c>
      <c r="D452" t="s">
        <v>15</v>
      </c>
      <c r="E452" t="s">
        <v>62</v>
      </c>
      <c r="F452" t="s">
        <v>77</v>
      </c>
      <c r="G452" t="s">
        <v>2</v>
      </c>
      <c r="H452">
        <v>1</v>
      </c>
      <c r="I452" s="3">
        <v>899</v>
      </c>
      <c r="J452" s="4">
        <v>0.15</v>
      </c>
      <c r="K452" s="5">
        <v>764.15</v>
      </c>
      <c r="L452" t="s">
        <v>38</v>
      </c>
      <c r="M452">
        <v>5</v>
      </c>
    </row>
    <row r="453" spans="1:13">
      <c r="A453" t="s">
        <v>503</v>
      </c>
      <c r="B453" s="1">
        <v>45936</v>
      </c>
      <c r="C453" t="s">
        <v>34</v>
      </c>
      <c r="D453" t="s">
        <v>35</v>
      </c>
      <c r="E453" t="s">
        <v>20</v>
      </c>
      <c r="F453" t="s">
        <v>75</v>
      </c>
      <c r="G453" t="s">
        <v>22</v>
      </c>
      <c r="H453">
        <v>2</v>
      </c>
      <c r="I453" s="3">
        <v>45</v>
      </c>
      <c r="J453" s="4">
        <v>0</v>
      </c>
      <c r="K453" s="5">
        <v>90</v>
      </c>
      <c r="L453" t="s">
        <v>18</v>
      </c>
      <c r="M453">
        <v>4</v>
      </c>
    </row>
    <row r="454" spans="1:13">
      <c r="A454" t="s">
        <v>504</v>
      </c>
      <c r="B454" s="1">
        <v>45936</v>
      </c>
      <c r="C454" t="s">
        <v>14</v>
      </c>
      <c r="D454" t="s">
        <v>15</v>
      </c>
      <c r="E454" t="s">
        <v>20</v>
      </c>
      <c r="F454" t="s">
        <v>75</v>
      </c>
      <c r="G454" t="s">
        <v>37</v>
      </c>
      <c r="H454">
        <v>1</v>
      </c>
      <c r="I454" s="3">
        <v>45</v>
      </c>
      <c r="J454" s="4">
        <v>0</v>
      </c>
      <c r="K454" s="5">
        <v>45</v>
      </c>
      <c r="L454" t="s">
        <v>23</v>
      </c>
      <c r="M454">
        <v>5</v>
      </c>
    </row>
    <row r="455" spans="1:13">
      <c r="A455" t="s">
        <v>505</v>
      </c>
      <c r="B455" s="1">
        <v>45937</v>
      </c>
      <c r="C455" t="s">
        <v>57</v>
      </c>
      <c r="D455" t="s">
        <v>15</v>
      </c>
      <c r="E455" t="s">
        <v>48</v>
      </c>
      <c r="F455" t="s">
        <v>65</v>
      </c>
      <c r="G455" t="s">
        <v>2</v>
      </c>
      <c r="H455">
        <v>1</v>
      </c>
      <c r="I455" s="3">
        <v>2590</v>
      </c>
      <c r="J455" s="4">
        <v>0.05</v>
      </c>
      <c r="K455" s="5">
        <v>2460.5</v>
      </c>
      <c r="L455" t="s">
        <v>23</v>
      </c>
      <c r="M455">
        <v>5</v>
      </c>
    </row>
    <row r="456" spans="1:13">
      <c r="A456" t="s">
        <v>506</v>
      </c>
      <c r="B456" s="1">
        <v>45937</v>
      </c>
      <c r="C456" t="s">
        <v>34</v>
      </c>
      <c r="D456" t="s">
        <v>35</v>
      </c>
      <c r="E456" t="s">
        <v>26</v>
      </c>
      <c r="F456" t="s">
        <v>27</v>
      </c>
      <c r="G456" t="s">
        <v>22</v>
      </c>
      <c r="H456">
        <v>1</v>
      </c>
      <c r="I456" s="3">
        <v>699</v>
      </c>
      <c r="J456" s="4">
        <v>0.15</v>
      </c>
      <c r="K456" s="5">
        <v>594.15</v>
      </c>
      <c r="L456" t="s">
        <v>23</v>
      </c>
      <c r="M456">
        <v>4</v>
      </c>
    </row>
    <row r="457" spans="1:13">
      <c r="A457" t="s">
        <v>507</v>
      </c>
      <c r="B457" s="1">
        <v>45937</v>
      </c>
      <c r="C457" t="s">
        <v>44</v>
      </c>
      <c r="D457" t="s">
        <v>45</v>
      </c>
      <c r="E457" t="s">
        <v>62</v>
      </c>
      <c r="F457" t="s">
        <v>77</v>
      </c>
      <c r="G457" t="s">
        <v>22</v>
      </c>
      <c r="H457">
        <v>1</v>
      </c>
      <c r="I457" s="3">
        <v>899</v>
      </c>
      <c r="J457" s="4">
        <v>0</v>
      </c>
      <c r="K457" s="5">
        <v>899</v>
      </c>
      <c r="L457" t="s">
        <v>23</v>
      </c>
      <c r="M457">
        <v>4</v>
      </c>
    </row>
    <row r="458" spans="1:13">
      <c r="A458" t="s">
        <v>508</v>
      </c>
      <c r="B458" s="1">
        <v>45938</v>
      </c>
      <c r="C458" t="s">
        <v>34</v>
      </c>
      <c r="D458" t="s">
        <v>35</v>
      </c>
      <c r="E458" t="s">
        <v>62</v>
      </c>
      <c r="F458" t="s">
        <v>100</v>
      </c>
      <c r="G458" t="s">
        <v>37</v>
      </c>
      <c r="H458">
        <v>2</v>
      </c>
      <c r="I458" s="3">
        <v>1190</v>
      </c>
      <c r="J458" s="4">
        <v>0.15</v>
      </c>
      <c r="K458" s="5">
        <v>2023</v>
      </c>
      <c r="L458" t="s">
        <v>23</v>
      </c>
      <c r="M458">
        <v>3</v>
      </c>
    </row>
    <row r="459" spans="1:13">
      <c r="A459" t="s">
        <v>509</v>
      </c>
      <c r="B459" s="1">
        <v>45938</v>
      </c>
      <c r="C459" t="s">
        <v>44</v>
      </c>
      <c r="D459" t="s">
        <v>45</v>
      </c>
      <c r="E459" t="s">
        <v>16</v>
      </c>
      <c r="F459" t="s">
        <v>46</v>
      </c>
      <c r="G459" t="s">
        <v>2</v>
      </c>
      <c r="H459">
        <v>1</v>
      </c>
      <c r="I459" s="3">
        <v>29</v>
      </c>
      <c r="J459" s="4">
        <v>0.05</v>
      </c>
      <c r="K459" s="5">
        <v>27.55</v>
      </c>
      <c r="L459" t="s">
        <v>51</v>
      </c>
      <c r="M459">
        <v>3</v>
      </c>
    </row>
    <row r="460" spans="1:13">
      <c r="A460" t="s">
        <v>510</v>
      </c>
      <c r="B460" s="1">
        <v>45939</v>
      </c>
      <c r="C460" t="s">
        <v>31</v>
      </c>
      <c r="D460" t="s">
        <v>15</v>
      </c>
      <c r="E460" t="s">
        <v>62</v>
      </c>
      <c r="F460" t="s">
        <v>77</v>
      </c>
      <c r="G460" t="s">
        <v>22</v>
      </c>
      <c r="H460">
        <v>1</v>
      </c>
      <c r="I460" s="3">
        <v>899</v>
      </c>
      <c r="J460" s="4">
        <v>0.15</v>
      </c>
      <c r="K460" s="5">
        <v>764.15</v>
      </c>
      <c r="L460" t="s">
        <v>38</v>
      </c>
      <c r="M460">
        <v>5</v>
      </c>
    </row>
    <row r="461" spans="1:13">
      <c r="A461" t="s">
        <v>511</v>
      </c>
      <c r="B461" s="1">
        <v>45939</v>
      </c>
      <c r="C461" t="s">
        <v>57</v>
      </c>
      <c r="D461" t="s">
        <v>15</v>
      </c>
      <c r="E461" t="s">
        <v>48</v>
      </c>
      <c r="F461" t="s">
        <v>49</v>
      </c>
      <c r="G461" t="s">
        <v>2</v>
      </c>
      <c r="H461">
        <v>1</v>
      </c>
      <c r="I461" s="3">
        <v>3990</v>
      </c>
      <c r="J461" s="4">
        <v>0</v>
      </c>
      <c r="K461" s="5">
        <v>3990</v>
      </c>
      <c r="L461" t="s">
        <v>51</v>
      </c>
    </row>
    <row r="462" spans="1:13">
      <c r="A462" t="s">
        <v>512</v>
      </c>
      <c r="B462" s="1">
        <v>45939</v>
      </c>
      <c r="C462" t="s">
        <v>44</v>
      </c>
      <c r="D462" t="s">
        <v>45</v>
      </c>
      <c r="E462" t="s">
        <v>48</v>
      </c>
      <c r="F462" t="s">
        <v>49</v>
      </c>
      <c r="G462" t="s">
        <v>22</v>
      </c>
      <c r="H462">
        <v>2</v>
      </c>
      <c r="I462" s="3">
        <v>3990</v>
      </c>
      <c r="J462" s="4">
        <v>0</v>
      </c>
      <c r="K462" s="5">
        <v>7980</v>
      </c>
      <c r="L462" t="s">
        <v>23</v>
      </c>
      <c r="M462">
        <v>1</v>
      </c>
    </row>
    <row r="463" spans="1:13">
      <c r="A463" t="s">
        <v>513</v>
      </c>
      <c r="B463" s="1">
        <v>45939</v>
      </c>
      <c r="C463" t="s">
        <v>44</v>
      </c>
      <c r="D463" t="s">
        <v>45</v>
      </c>
      <c r="E463" t="s">
        <v>26</v>
      </c>
      <c r="F463" t="s">
        <v>60</v>
      </c>
      <c r="G463" t="s">
        <v>37</v>
      </c>
      <c r="H463">
        <v>1</v>
      </c>
      <c r="I463" s="3">
        <v>1890</v>
      </c>
      <c r="J463" s="4">
        <v>0</v>
      </c>
      <c r="K463" s="5">
        <v>1890</v>
      </c>
      <c r="L463" t="s">
        <v>23</v>
      </c>
    </row>
    <row r="464" spans="1:13">
      <c r="A464" t="s">
        <v>514</v>
      </c>
      <c r="B464" s="1">
        <v>45940</v>
      </c>
      <c r="C464" t="s">
        <v>34</v>
      </c>
      <c r="D464" t="s">
        <v>35</v>
      </c>
      <c r="E464" t="s">
        <v>20</v>
      </c>
      <c r="F464" t="s">
        <v>42</v>
      </c>
      <c r="G464" t="s">
        <v>2</v>
      </c>
      <c r="H464">
        <v>3</v>
      </c>
      <c r="I464" s="3">
        <v>59</v>
      </c>
      <c r="J464" s="4">
        <v>0</v>
      </c>
      <c r="K464" s="5">
        <v>177</v>
      </c>
      <c r="L464" t="s">
        <v>38</v>
      </c>
      <c r="M464">
        <v>4</v>
      </c>
    </row>
    <row r="465" spans="1:13">
      <c r="A465" t="s">
        <v>515</v>
      </c>
      <c r="B465" s="1">
        <v>45940</v>
      </c>
      <c r="C465" t="s">
        <v>34</v>
      </c>
      <c r="D465" t="s">
        <v>35</v>
      </c>
      <c r="E465" t="s">
        <v>62</v>
      </c>
      <c r="F465" t="s">
        <v>77</v>
      </c>
      <c r="G465" t="s">
        <v>22</v>
      </c>
      <c r="H465">
        <v>1</v>
      </c>
      <c r="I465" s="3">
        <v>899</v>
      </c>
      <c r="J465" s="4">
        <v>0</v>
      </c>
      <c r="K465" s="5">
        <v>899</v>
      </c>
      <c r="L465" t="s">
        <v>38</v>
      </c>
      <c r="M465">
        <v>4</v>
      </c>
    </row>
    <row r="466" spans="1:13">
      <c r="A466" t="s">
        <v>516</v>
      </c>
      <c r="B466" s="1">
        <v>45940</v>
      </c>
      <c r="C466" t="s">
        <v>25</v>
      </c>
      <c r="D466" t="s">
        <v>15</v>
      </c>
      <c r="E466" t="s">
        <v>20</v>
      </c>
      <c r="F466" t="s">
        <v>21</v>
      </c>
      <c r="G466" t="s">
        <v>22</v>
      </c>
      <c r="H466">
        <v>1</v>
      </c>
      <c r="I466" s="3">
        <v>69</v>
      </c>
      <c r="J466" s="4">
        <v>0.05</v>
      </c>
      <c r="K466" s="5">
        <v>65.55</v>
      </c>
      <c r="L466" t="s">
        <v>23</v>
      </c>
      <c r="M466">
        <v>5</v>
      </c>
    </row>
    <row r="467" spans="1:13">
      <c r="A467" t="s">
        <v>517</v>
      </c>
      <c r="B467" s="1">
        <v>45940</v>
      </c>
      <c r="C467" t="s">
        <v>54</v>
      </c>
      <c r="D467" t="s">
        <v>35</v>
      </c>
      <c r="E467" t="s">
        <v>26</v>
      </c>
      <c r="F467" t="s">
        <v>60</v>
      </c>
      <c r="G467" t="s">
        <v>2</v>
      </c>
      <c r="H467">
        <v>1</v>
      </c>
      <c r="I467" s="3">
        <v>1890</v>
      </c>
      <c r="J467" s="4">
        <v>0.05</v>
      </c>
      <c r="K467" s="5">
        <v>1795.5</v>
      </c>
      <c r="L467" t="s">
        <v>23</v>
      </c>
      <c r="M467">
        <v>5</v>
      </c>
    </row>
    <row r="468" spans="1:13">
      <c r="A468" t="s">
        <v>518</v>
      </c>
      <c r="B468" s="1">
        <v>45940</v>
      </c>
      <c r="C468" t="s">
        <v>57</v>
      </c>
      <c r="D468" t="s">
        <v>15</v>
      </c>
      <c r="E468" t="s">
        <v>26</v>
      </c>
      <c r="F468" t="s">
        <v>60</v>
      </c>
      <c r="G468" t="s">
        <v>37</v>
      </c>
      <c r="H468">
        <v>1</v>
      </c>
      <c r="I468" s="3">
        <v>1890</v>
      </c>
      <c r="J468" s="4">
        <v>0.1</v>
      </c>
      <c r="K468" s="5">
        <v>1701</v>
      </c>
      <c r="L468" t="s">
        <v>51</v>
      </c>
      <c r="M468">
        <v>5</v>
      </c>
    </row>
    <row r="469" spans="1:13">
      <c r="A469" t="s">
        <v>519</v>
      </c>
      <c r="B469" s="1">
        <v>45941</v>
      </c>
      <c r="C469" t="s">
        <v>34</v>
      </c>
      <c r="D469" t="s">
        <v>35</v>
      </c>
      <c r="E469" t="s">
        <v>16</v>
      </c>
      <c r="F469" t="s">
        <v>17</v>
      </c>
      <c r="G469" t="s">
        <v>2</v>
      </c>
      <c r="H469">
        <v>1</v>
      </c>
      <c r="I469" s="3">
        <v>19</v>
      </c>
      <c r="J469" s="4">
        <v>0</v>
      </c>
      <c r="K469" s="5">
        <v>19</v>
      </c>
      <c r="L469" t="s">
        <v>38</v>
      </c>
      <c r="M469">
        <v>5</v>
      </c>
    </row>
    <row r="470" spans="1:13">
      <c r="A470" t="s">
        <v>520</v>
      </c>
      <c r="B470" s="1">
        <v>45943</v>
      </c>
      <c r="C470" t="s">
        <v>25</v>
      </c>
      <c r="D470" t="s">
        <v>15</v>
      </c>
      <c r="E470" t="s">
        <v>62</v>
      </c>
      <c r="F470" t="s">
        <v>100</v>
      </c>
      <c r="G470" t="s">
        <v>2</v>
      </c>
      <c r="H470">
        <v>1</v>
      </c>
      <c r="I470" s="3">
        <v>1190</v>
      </c>
      <c r="J470" s="4">
        <v>0</v>
      </c>
      <c r="K470" s="5">
        <v>1190</v>
      </c>
      <c r="L470" t="s">
        <v>23</v>
      </c>
      <c r="M470">
        <v>5</v>
      </c>
    </row>
    <row r="471" spans="1:13">
      <c r="A471" t="s">
        <v>521</v>
      </c>
      <c r="B471" s="1">
        <v>45943</v>
      </c>
      <c r="C471" t="s">
        <v>14</v>
      </c>
      <c r="D471" t="s">
        <v>15</v>
      </c>
      <c r="E471" t="s">
        <v>62</v>
      </c>
      <c r="F471" t="s">
        <v>63</v>
      </c>
      <c r="G471" t="s">
        <v>22</v>
      </c>
      <c r="H471">
        <v>1</v>
      </c>
      <c r="I471" s="3">
        <v>2490</v>
      </c>
      <c r="J471" s="4">
        <v>0.05</v>
      </c>
      <c r="K471" s="5">
        <v>2365.5</v>
      </c>
      <c r="L471" t="s">
        <v>23</v>
      </c>
      <c r="M471">
        <v>2</v>
      </c>
    </row>
    <row r="472" spans="1:13">
      <c r="A472" t="s">
        <v>522</v>
      </c>
      <c r="B472" s="1">
        <v>45943</v>
      </c>
      <c r="C472" t="s">
        <v>40</v>
      </c>
      <c r="D472" t="s">
        <v>41</v>
      </c>
      <c r="E472" t="s">
        <v>16</v>
      </c>
      <c r="F472" t="s">
        <v>17</v>
      </c>
      <c r="G472" t="s">
        <v>2</v>
      </c>
      <c r="H472">
        <v>1</v>
      </c>
      <c r="I472" s="3">
        <v>19</v>
      </c>
      <c r="J472" s="4">
        <v>0.2</v>
      </c>
      <c r="K472" s="5">
        <v>15.2</v>
      </c>
      <c r="L472" t="s">
        <v>38</v>
      </c>
      <c r="M472">
        <v>5</v>
      </c>
    </row>
    <row r="473" spans="1:13">
      <c r="A473" t="s">
        <v>523</v>
      </c>
      <c r="B473" s="1">
        <v>45946</v>
      </c>
      <c r="C473" t="s">
        <v>57</v>
      </c>
      <c r="D473" t="s">
        <v>15</v>
      </c>
      <c r="E473" t="s">
        <v>20</v>
      </c>
      <c r="F473" t="s">
        <v>75</v>
      </c>
      <c r="G473" t="s">
        <v>22</v>
      </c>
      <c r="H473">
        <v>2</v>
      </c>
      <c r="I473" s="3">
        <v>45</v>
      </c>
      <c r="J473" s="4">
        <v>0</v>
      </c>
      <c r="K473" s="5">
        <v>90</v>
      </c>
      <c r="L473" t="s">
        <v>23</v>
      </c>
      <c r="M473">
        <v>5</v>
      </c>
    </row>
    <row r="474" spans="1:13">
      <c r="A474" t="s">
        <v>524</v>
      </c>
      <c r="B474" s="1">
        <v>45947</v>
      </c>
      <c r="C474" t="s">
        <v>44</v>
      </c>
      <c r="D474" t="s">
        <v>45</v>
      </c>
      <c r="E474" t="s">
        <v>26</v>
      </c>
      <c r="F474" t="s">
        <v>29</v>
      </c>
      <c r="G474" t="s">
        <v>2</v>
      </c>
      <c r="H474">
        <v>1</v>
      </c>
      <c r="I474" s="3">
        <v>549</v>
      </c>
      <c r="J474" s="4">
        <v>0.1</v>
      </c>
      <c r="K474" s="5">
        <v>494.1</v>
      </c>
      <c r="L474" t="s">
        <v>23</v>
      </c>
      <c r="M474">
        <v>3</v>
      </c>
    </row>
    <row r="475" spans="1:13">
      <c r="A475" t="s">
        <v>525</v>
      </c>
      <c r="B475" s="1">
        <v>45948</v>
      </c>
      <c r="C475" t="s">
        <v>40</v>
      </c>
      <c r="D475" t="s">
        <v>41</v>
      </c>
      <c r="E475" t="s">
        <v>62</v>
      </c>
      <c r="F475" t="s">
        <v>100</v>
      </c>
      <c r="G475" t="s">
        <v>37</v>
      </c>
      <c r="H475">
        <v>1</v>
      </c>
      <c r="I475" s="3">
        <v>1190</v>
      </c>
      <c r="J475" s="4">
        <v>0</v>
      </c>
      <c r="K475" s="5">
        <v>1190</v>
      </c>
      <c r="L475" t="s">
        <v>23</v>
      </c>
      <c r="M475">
        <v>5</v>
      </c>
    </row>
    <row r="476" spans="1:13">
      <c r="A476" t="s">
        <v>526</v>
      </c>
      <c r="B476" s="1">
        <v>45948</v>
      </c>
      <c r="C476" t="s">
        <v>31</v>
      </c>
      <c r="D476" t="s">
        <v>15</v>
      </c>
      <c r="E476" t="s">
        <v>62</v>
      </c>
      <c r="F476" t="s">
        <v>63</v>
      </c>
      <c r="G476" t="s">
        <v>22</v>
      </c>
      <c r="H476">
        <v>1</v>
      </c>
      <c r="I476" s="3">
        <v>2490</v>
      </c>
      <c r="J476" s="4">
        <v>0</v>
      </c>
      <c r="K476" s="5">
        <v>2490</v>
      </c>
      <c r="L476" t="s">
        <v>38</v>
      </c>
      <c r="M476">
        <v>4</v>
      </c>
    </row>
    <row r="477" spans="1:13">
      <c r="A477" t="s">
        <v>527</v>
      </c>
      <c r="B477" s="1">
        <v>45948</v>
      </c>
      <c r="C477" t="s">
        <v>14</v>
      </c>
      <c r="D477" t="s">
        <v>15</v>
      </c>
      <c r="E477" t="s">
        <v>16</v>
      </c>
      <c r="F477" t="s">
        <v>46</v>
      </c>
      <c r="G477" t="s">
        <v>2</v>
      </c>
      <c r="H477">
        <v>1</v>
      </c>
      <c r="I477" s="3">
        <v>29</v>
      </c>
      <c r="J477" s="4">
        <v>0.2</v>
      </c>
      <c r="K477" s="5">
        <v>23.2</v>
      </c>
      <c r="L477" t="s">
        <v>51</v>
      </c>
      <c r="M477">
        <v>4</v>
      </c>
    </row>
    <row r="478" spans="1:13">
      <c r="A478" t="s">
        <v>528</v>
      </c>
      <c r="B478" s="1">
        <v>45949</v>
      </c>
      <c r="C478" t="s">
        <v>57</v>
      </c>
      <c r="D478" t="s">
        <v>15</v>
      </c>
      <c r="E478" t="s">
        <v>20</v>
      </c>
      <c r="F478" t="s">
        <v>55</v>
      </c>
      <c r="G478" t="s">
        <v>2</v>
      </c>
      <c r="H478">
        <v>2</v>
      </c>
      <c r="I478" s="3">
        <v>35</v>
      </c>
      <c r="J478" s="4">
        <v>0</v>
      </c>
      <c r="K478" s="5">
        <v>70</v>
      </c>
      <c r="L478" t="s">
        <v>23</v>
      </c>
    </row>
    <row r="479" spans="1:13">
      <c r="A479" t="s">
        <v>529</v>
      </c>
      <c r="B479" s="1">
        <v>45949</v>
      </c>
      <c r="C479" t="s">
        <v>14</v>
      </c>
      <c r="D479" t="s">
        <v>15</v>
      </c>
      <c r="E479" t="s">
        <v>20</v>
      </c>
      <c r="F479" t="s">
        <v>75</v>
      </c>
      <c r="G479" t="s">
        <v>22</v>
      </c>
      <c r="H479">
        <v>3</v>
      </c>
      <c r="I479" s="3">
        <v>45</v>
      </c>
      <c r="J479" s="4">
        <v>0</v>
      </c>
      <c r="K479" s="5">
        <v>135</v>
      </c>
      <c r="L479" t="s">
        <v>18</v>
      </c>
      <c r="M479">
        <v>3</v>
      </c>
    </row>
    <row r="480" spans="1:13">
      <c r="A480" t="s">
        <v>530</v>
      </c>
      <c r="B480" s="1">
        <v>45949</v>
      </c>
      <c r="C480" t="s">
        <v>40</v>
      </c>
      <c r="D480" t="s">
        <v>41</v>
      </c>
      <c r="E480" t="s">
        <v>62</v>
      </c>
      <c r="F480" t="s">
        <v>100</v>
      </c>
      <c r="G480" t="s">
        <v>2</v>
      </c>
      <c r="H480">
        <v>1</v>
      </c>
      <c r="I480" s="3">
        <v>1190</v>
      </c>
      <c r="J480" s="4">
        <v>0</v>
      </c>
      <c r="K480" s="5">
        <v>1190</v>
      </c>
      <c r="L480" t="s">
        <v>23</v>
      </c>
      <c r="M480">
        <v>5</v>
      </c>
    </row>
    <row r="481" spans="1:13">
      <c r="A481" t="s">
        <v>531</v>
      </c>
      <c r="B481" s="1">
        <v>45949</v>
      </c>
      <c r="C481" t="s">
        <v>31</v>
      </c>
      <c r="D481" t="s">
        <v>15</v>
      </c>
      <c r="E481" t="s">
        <v>16</v>
      </c>
      <c r="F481" t="s">
        <v>46</v>
      </c>
      <c r="G481" t="s">
        <v>2</v>
      </c>
      <c r="H481">
        <v>2</v>
      </c>
      <c r="I481" s="3">
        <v>29</v>
      </c>
      <c r="J481" s="4">
        <v>0.05</v>
      </c>
      <c r="K481" s="5">
        <v>55.1</v>
      </c>
      <c r="L481" t="s">
        <v>51</v>
      </c>
      <c r="M481">
        <v>5</v>
      </c>
    </row>
    <row r="482" spans="1:13">
      <c r="A482" t="s">
        <v>532</v>
      </c>
      <c r="B482" s="1">
        <v>45950</v>
      </c>
      <c r="C482" t="s">
        <v>57</v>
      </c>
      <c r="D482" t="s">
        <v>15</v>
      </c>
      <c r="E482" t="s">
        <v>48</v>
      </c>
      <c r="F482" t="s">
        <v>49</v>
      </c>
      <c r="G482" t="s">
        <v>37</v>
      </c>
      <c r="H482">
        <v>1</v>
      </c>
      <c r="I482" s="3">
        <v>3990</v>
      </c>
      <c r="J482" s="4">
        <v>0.15</v>
      </c>
      <c r="K482" s="5">
        <v>3391.5</v>
      </c>
      <c r="L482" t="s">
        <v>18</v>
      </c>
      <c r="M482">
        <v>4</v>
      </c>
    </row>
    <row r="483" spans="1:13">
      <c r="A483" t="s">
        <v>533</v>
      </c>
      <c r="B483" s="1">
        <v>45951</v>
      </c>
      <c r="C483" t="s">
        <v>54</v>
      </c>
      <c r="D483" t="s">
        <v>35</v>
      </c>
      <c r="E483" t="s">
        <v>26</v>
      </c>
      <c r="F483" t="s">
        <v>27</v>
      </c>
      <c r="G483" t="s">
        <v>2</v>
      </c>
      <c r="H483">
        <v>1</v>
      </c>
      <c r="I483" s="3">
        <v>699</v>
      </c>
      <c r="J483" s="4">
        <v>0.15</v>
      </c>
      <c r="K483" s="5">
        <v>594.15</v>
      </c>
      <c r="L483" t="s">
        <v>23</v>
      </c>
      <c r="M483">
        <v>3</v>
      </c>
    </row>
    <row r="484" spans="1:13">
      <c r="A484" t="s">
        <v>534</v>
      </c>
      <c r="B484" s="1">
        <v>45953</v>
      </c>
      <c r="C484" t="s">
        <v>57</v>
      </c>
      <c r="D484" t="s">
        <v>15</v>
      </c>
      <c r="E484" t="s">
        <v>26</v>
      </c>
      <c r="F484" t="s">
        <v>60</v>
      </c>
      <c r="G484" t="s">
        <v>2</v>
      </c>
      <c r="H484">
        <v>1</v>
      </c>
      <c r="I484" s="3">
        <v>1890</v>
      </c>
      <c r="J484" s="4">
        <v>0.1</v>
      </c>
      <c r="K484" s="5">
        <v>1701</v>
      </c>
      <c r="L484" t="s">
        <v>18</v>
      </c>
    </row>
    <row r="485" spans="1:13">
      <c r="A485" t="s">
        <v>535</v>
      </c>
      <c r="B485" s="1">
        <v>45955</v>
      </c>
      <c r="C485" t="s">
        <v>57</v>
      </c>
      <c r="D485" t="s">
        <v>15</v>
      </c>
      <c r="E485" t="s">
        <v>48</v>
      </c>
      <c r="F485" t="s">
        <v>65</v>
      </c>
      <c r="G485" t="s">
        <v>37</v>
      </c>
      <c r="H485">
        <v>1</v>
      </c>
      <c r="I485" s="3">
        <v>2590</v>
      </c>
      <c r="J485" s="4">
        <v>0</v>
      </c>
      <c r="K485" s="5">
        <v>2590</v>
      </c>
      <c r="L485" t="s">
        <v>23</v>
      </c>
      <c r="M485">
        <v>5</v>
      </c>
    </row>
    <row r="486" spans="1:13">
      <c r="A486" t="s">
        <v>536</v>
      </c>
      <c r="B486" s="1">
        <v>45955</v>
      </c>
      <c r="C486" t="s">
        <v>25</v>
      </c>
      <c r="D486" t="s">
        <v>15</v>
      </c>
      <c r="E486" t="s">
        <v>16</v>
      </c>
      <c r="F486" t="s">
        <v>32</v>
      </c>
      <c r="G486" t="s">
        <v>2</v>
      </c>
      <c r="H486">
        <v>1</v>
      </c>
      <c r="I486" s="3">
        <v>89</v>
      </c>
      <c r="J486" s="4">
        <v>0.1</v>
      </c>
      <c r="K486" s="5">
        <v>80.099999999999994</v>
      </c>
      <c r="L486" t="s">
        <v>18</v>
      </c>
      <c r="M486">
        <v>5</v>
      </c>
    </row>
    <row r="487" spans="1:13">
      <c r="A487" t="s">
        <v>537</v>
      </c>
      <c r="B487" s="1">
        <v>45955</v>
      </c>
      <c r="C487" t="s">
        <v>14</v>
      </c>
      <c r="D487" t="s">
        <v>15</v>
      </c>
      <c r="E487" t="s">
        <v>20</v>
      </c>
      <c r="F487" t="s">
        <v>21</v>
      </c>
      <c r="G487" t="s">
        <v>37</v>
      </c>
      <c r="H487">
        <v>2</v>
      </c>
      <c r="I487" s="3">
        <v>69</v>
      </c>
      <c r="J487" s="4">
        <v>0</v>
      </c>
      <c r="K487" s="5">
        <v>138</v>
      </c>
      <c r="L487" t="s">
        <v>23</v>
      </c>
      <c r="M487">
        <v>4</v>
      </c>
    </row>
    <row r="488" spans="1:13">
      <c r="A488" t="s">
        <v>538</v>
      </c>
      <c r="B488" s="1">
        <v>45956</v>
      </c>
      <c r="C488" t="s">
        <v>54</v>
      </c>
      <c r="D488" t="s">
        <v>35</v>
      </c>
      <c r="E488" t="s">
        <v>48</v>
      </c>
      <c r="F488" t="s">
        <v>65</v>
      </c>
      <c r="G488" t="s">
        <v>37</v>
      </c>
      <c r="H488">
        <v>1</v>
      </c>
      <c r="I488" s="3">
        <v>2590</v>
      </c>
      <c r="J488" s="4">
        <v>0</v>
      </c>
      <c r="K488" s="5">
        <v>2590</v>
      </c>
      <c r="L488" t="s">
        <v>18</v>
      </c>
      <c r="M488">
        <v>4</v>
      </c>
    </row>
    <row r="489" spans="1:13">
      <c r="A489" t="s">
        <v>539</v>
      </c>
      <c r="B489" s="1">
        <v>45957</v>
      </c>
      <c r="C489" t="s">
        <v>57</v>
      </c>
      <c r="D489" t="s">
        <v>15</v>
      </c>
      <c r="E489" t="s">
        <v>20</v>
      </c>
      <c r="F489" t="s">
        <v>55</v>
      </c>
      <c r="G489" t="s">
        <v>22</v>
      </c>
      <c r="H489">
        <v>1</v>
      </c>
      <c r="I489" s="3">
        <v>35</v>
      </c>
      <c r="J489" s="4">
        <v>0</v>
      </c>
      <c r="K489" s="5">
        <v>35</v>
      </c>
      <c r="L489" t="s">
        <v>23</v>
      </c>
      <c r="M489">
        <v>4</v>
      </c>
    </row>
    <row r="490" spans="1:13">
      <c r="A490" t="s">
        <v>540</v>
      </c>
      <c r="B490" s="1">
        <v>45957</v>
      </c>
      <c r="C490" t="s">
        <v>14</v>
      </c>
      <c r="D490" t="s">
        <v>15</v>
      </c>
      <c r="E490" t="s">
        <v>20</v>
      </c>
      <c r="F490" t="s">
        <v>55</v>
      </c>
      <c r="G490" t="s">
        <v>2</v>
      </c>
      <c r="H490">
        <v>1</v>
      </c>
      <c r="I490" s="3">
        <v>35</v>
      </c>
      <c r="J490" s="4">
        <v>0</v>
      </c>
      <c r="K490" s="5">
        <v>35</v>
      </c>
      <c r="L490" t="s">
        <v>23</v>
      </c>
      <c r="M490">
        <v>5</v>
      </c>
    </row>
    <row r="491" spans="1:13">
      <c r="A491" t="s">
        <v>541</v>
      </c>
      <c r="B491" s="1">
        <v>45957</v>
      </c>
      <c r="C491" t="s">
        <v>44</v>
      </c>
      <c r="D491" t="s">
        <v>45</v>
      </c>
      <c r="E491" t="s">
        <v>20</v>
      </c>
      <c r="F491" t="s">
        <v>55</v>
      </c>
      <c r="G491" t="s">
        <v>2</v>
      </c>
      <c r="H491">
        <v>1</v>
      </c>
      <c r="I491" s="3">
        <v>35</v>
      </c>
      <c r="J491" s="4">
        <v>0</v>
      </c>
      <c r="K491" s="5">
        <v>35</v>
      </c>
      <c r="L491" t="s">
        <v>23</v>
      </c>
      <c r="M491">
        <v>5</v>
      </c>
    </row>
    <row r="492" spans="1:13">
      <c r="A492" t="s">
        <v>542</v>
      </c>
      <c r="B492" s="1">
        <v>45957</v>
      </c>
      <c r="C492" t="s">
        <v>40</v>
      </c>
      <c r="D492" t="s">
        <v>41</v>
      </c>
      <c r="E492" t="s">
        <v>62</v>
      </c>
      <c r="F492" t="s">
        <v>63</v>
      </c>
      <c r="G492" t="s">
        <v>22</v>
      </c>
      <c r="H492">
        <v>1</v>
      </c>
      <c r="I492" s="3">
        <v>2490</v>
      </c>
      <c r="J492" s="4">
        <v>0</v>
      </c>
      <c r="K492" s="5">
        <v>2490</v>
      </c>
      <c r="L492" t="s">
        <v>38</v>
      </c>
      <c r="M492">
        <v>5</v>
      </c>
    </row>
    <row r="493" spans="1:13">
      <c r="A493" t="s">
        <v>543</v>
      </c>
      <c r="B493" s="1">
        <v>45958</v>
      </c>
      <c r="C493" t="s">
        <v>34</v>
      </c>
      <c r="D493" t="s">
        <v>35</v>
      </c>
      <c r="E493" t="s">
        <v>26</v>
      </c>
      <c r="F493" t="s">
        <v>60</v>
      </c>
      <c r="G493" t="s">
        <v>2</v>
      </c>
      <c r="H493">
        <v>1</v>
      </c>
      <c r="I493" s="3">
        <v>1890</v>
      </c>
      <c r="J493" s="4">
        <v>0.05</v>
      </c>
      <c r="K493" s="5">
        <v>1795.5</v>
      </c>
      <c r="L493" t="s">
        <v>23</v>
      </c>
      <c r="M493">
        <v>5</v>
      </c>
    </row>
    <row r="494" spans="1:13">
      <c r="A494" t="s">
        <v>544</v>
      </c>
      <c r="B494" s="1">
        <v>45958</v>
      </c>
      <c r="C494" t="s">
        <v>44</v>
      </c>
      <c r="D494" t="s">
        <v>45</v>
      </c>
      <c r="E494" t="s">
        <v>26</v>
      </c>
      <c r="F494" t="s">
        <v>29</v>
      </c>
      <c r="G494" t="s">
        <v>2</v>
      </c>
      <c r="H494">
        <v>1</v>
      </c>
      <c r="I494" s="3">
        <v>549</v>
      </c>
      <c r="J494" s="4">
        <v>0</v>
      </c>
      <c r="K494" s="5">
        <v>549</v>
      </c>
      <c r="L494" t="s">
        <v>23</v>
      </c>
      <c r="M494">
        <v>3</v>
      </c>
    </row>
    <row r="495" spans="1:13">
      <c r="A495" t="s">
        <v>545</v>
      </c>
      <c r="B495" s="1">
        <v>45960</v>
      </c>
      <c r="C495" t="s">
        <v>34</v>
      </c>
      <c r="D495" t="s">
        <v>35</v>
      </c>
      <c r="E495" t="s">
        <v>16</v>
      </c>
      <c r="F495" t="s">
        <v>46</v>
      </c>
      <c r="G495" t="s">
        <v>2</v>
      </c>
      <c r="H495">
        <v>1</v>
      </c>
      <c r="I495" s="3">
        <v>29</v>
      </c>
      <c r="J495" s="4">
        <v>0</v>
      </c>
      <c r="K495" s="5">
        <v>29</v>
      </c>
      <c r="L495" t="s">
        <v>23</v>
      </c>
      <c r="M495">
        <v>4</v>
      </c>
    </row>
    <row r="496" spans="1:13">
      <c r="A496" t="s">
        <v>546</v>
      </c>
      <c r="B496" s="1">
        <v>45960</v>
      </c>
      <c r="C496" t="s">
        <v>34</v>
      </c>
      <c r="D496" t="s">
        <v>35</v>
      </c>
      <c r="E496" t="s">
        <v>20</v>
      </c>
      <c r="F496" t="s">
        <v>42</v>
      </c>
      <c r="G496" t="s">
        <v>2</v>
      </c>
      <c r="H496">
        <v>1</v>
      </c>
      <c r="I496" s="3">
        <v>59</v>
      </c>
      <c r="J496" s="4">
        <v>0</v>
      </c>
      <c r="K496" s="5">
        <v>59</v>
      </c>
      <c r="L496" t="s">
        <v>23</v>
      </c>
      <c r="M496">
        <v>4</v>
      </c>
    </row>
    <row r="497" spans="1:13">
      <c r="A497" t="s">
        <v>547</v>
      </c>
      <c r="B497" s="1">
        <v>45961</v>
      </c>
      <c r="C497" t="s">
        <v>14</v>
      </c>
      <c r="D497" t="s">
        <v>15</v>
      </c>
      <c r="E497" t="s">
        <v>48</v>
      </c>
      <c r="F497" t="s">
        <v>79</v>
      </c>
      <c r="G497" t="s">
        <v>37</v>
      </c>
      <c r="H497">
        <v>1</v>
      </c>
      <c r="I497" s="3">
        <v>1790</v>
      </c>
      <c r="J497" s="4">
        <v>0</v>
      </c>
      <c r="K497" s="5">
        <v>1790</v>
      </c>
      <c r="L497" t="s">
        <v>23</v>
      </c>
      <c r="M497">
        <v>5</v>
      </c>
    </row>
    <row r="498" spans="1:13">
      <c r="A498" t="s">
        <v>548</v>
      </c>
      <c r="B498" s="1">
        <v>45961</v>
      </c>
      <c r="C498" t="s">
        <v>34</v>
      </c>
      <c r="D498" t="s">
        <v>35</v>
      </c>
      <c r="E498" t="s">
        <v>16</v>
      </c>
      <c r="F498" t="s">
        <v>46</v>
      </c>
      <c r="G498" t="s">
        <v>2</v>
      </c>
      <c r="H498">
        <v>1</v>
      </c>
      <c r="I498" s="3">
        <v>29</v>
      </c>
      <c r="J498" s="4">
        <v>0</v>
      </c>
      <c r="K498" s="5">
        <v>29</v>
      </c>
      <c r="L498" t="s">
        <v>18</v>
      </c>
      <c r="M498">
        <v>4</v>
      </c>
    </row>
    <row r="499" spans="1:13">
      <c r="A499" t="s">
        <v>549</v>
      </c>
      <c r="B499" s="1">
        <v>45962</v>
      </c>
      <c r="C499" t="s">
        <v>34</v>
      </c>
      <c r="D499" t="s">
        <v>35</v>
      </c>
      <c r="E499" t="s">
        <v>16</v>
      </c>
      <c r="F499" t="s">
        <v>17</v>
      </c>
      <c r="G499" t="s">
        <v>2</v>
      </c>
      <c r="H499">
        <v>1</v>
      </c>
      <c r="I499" s="3">
        <v>19</v>
      </c>
      <c r="J499" s="4">
        <v>0</v>
      </c>
      <c r="K499" s="5">
        <v>19</v>
      </c>
      <c r="L499" t="s">
        <v>23</v>
      </c>
      <c r="M499">
        <v>4</v>
      </c>
    </row>
    <row r="500" spans="1:13">
      <c r="A500" t="s">
        <v>550</v>
      </c>
      <c r="B500" s="1">
        <v>45962</v>
      </c>
      <c r="C500" t="s">
        <v>57</v>
      </c>
      <c r="D500" t="s">
        <v>15</v>
      </c>
      <c r="E500" t="s">
        <v>16</v>
      </c>
      <c r="F500" t="s">
        <v>32</v>
      </c>
      <c r="G500" t="s">
        <v>2</v>
      </c>
      <c r="H500">
        <v>1</v>
      </c>
      <c r="I500" s="3">
        <v>89</v>
      </c>
      <c r="J500" s="4">
        <v>0</v>
      </c>
      <c r="K500" s="5">
        <v>89</v>
      </c>
      <c r="L500" t="s">
        <v>18</v>
      </c>
      <c r="M500">
        <v>4</v>
      </c>
    </row>
    <row r="501" spans="1:13">
      <c r="A501" t="s">
        <v>551</v>
      </c>
      <c r="B501" s="1">
        <v>45963</v>
      </c>
      <c r="C501" t="s">
        <v>31</v>
      </c>
      <c r="D501" t="s">
        <v>15</v>
      </c>
      <c r="E501" t="s">
        <v>48</v>
      </c>
      <c r="F501" t="s">
        <v>49</v>
      </c>
      <c r="G501" t="s">
        <v>2</v>
      </c>
      <c r="H501">
        <v>1</v>
      </c>
      <c r="I501" s="3">
        <v>3990</v>
      </c>
      <c r="J501" s="4">
        <v>0.05</v>
      </c>
      <c r="K501" s="5">
        <v>3790.5</v>
      </c>
      <c r="L501" t="s">
        <v>38</v>
      </c>
    </row>
    <row r="502" spans="1:13">
      <c r="A502" t="s">
        <v>552</v>
      </c>
      <c r="B502" s="1">
        <v>45963</v>
      </c>
      <c r="C502" t="s">
        <v>14</v>
      </c>
      <c r="D502" t="s">
        <v>15</v>
      </c>
      <c r="E502" t="s">
        <v>16</v>
      </c>
      <c r="F502" t="s">
        <v>17</v>
      </c>
      <c r="G502" t="s">
        <v>2</v>
      </c>
      <c r="H502">
        <v>1</v>
      </c>
      <c r="I502" s="3">
        <v>19</v>
      </c>
      <c r="J502" s="4">
        <v>0</v>
      </c>
      <c r="K502" s="5">
        <v>19</v>
      </c>
      <c r="L502" t="s">
        <v>23</v>
      </c>
      <c r="M502">
        <v>4</v>
      </c>
    </row>
    <row r="503" spans="1:13">
      <c r="A503" t="s">
        <v>553</v>
      </c>
      <c r="B503" s="1">
        <v>45964</v>
      </c>
      <c r="C503" t="s">
        <v>44</v>
      </c>
      <c r="D503" t="s">
        <v>45</v>
      </c>
      <c r="E503" t="s">
        <v>20</v>
      </c>
      <c r="F503" t="s">
        <v>21</v>
      </c>
      <c r="G503" t="s">
        <v>37</v>
      </c>
      <c r="H503">
        <v>1</v>
      </c>
      <c r="I503" s="3">
        <v>69</v>
      </c>
      <c r="J503" s="4">
        <v>0.1</v>
      </c>
      <c r="K503" s="5">
        <v>62.1</v>
      </c>
      <c r="L503" t="s">
        <v>23</v>
      </c>
      <c r="M503">
        <v>5</v>
      </c>
    </row>
    <row r="504" spans="1:13">
      <c r="A504" t="s">
        <v>554</v>
      </c>
      <c r="B504" s="1">
        <v>45965</v>
      </c>
      <c r="C504" t="s">
        <v>31</v>
      </c>
      <c r="D504" t="s">
        <v>15</v>
      </c>
      <c r="E504" t="s">
        <v>48</v>
      </c>
      <c r="F504" t="s">
        <v>49</v>
      </c>
      <c r="G504" t="s">
        <v>22</v>
      </c>
      <c r="H504">
        <v>1</v>
      </c>
      <c r="I504" s="3">
        <v>3990</v>
      </c>
      <c r="J504" s="4">
        <v>0.2</v>
      </c>
      <c r="K504" s="5">
        <v>3192</v>
      </c>
      <c r="L504" t="s">
        <v>38</v>
      </c>
      <c r="M504">
        <v>4</v>
      </c>
    </row>
    <row r="505" spans="1:13">
      <c r="A505" t="s">
        <v>555</v>
      </c>
      <c r="B505" s="1">
        <v>45965</v>
      </c>
      <c r="C505" t="s">
        <v>54</v>
      </c>
      <c r="D505" t="s">
        <v>35</v>
      </c>
      <c r="E505" t="s">
        <v>20</v>
      </c>
      <c r="F505" t="s">
        <v>55</v>
      </c>
      <c r="G505" t="s">
        <v>37</v>
      </c>
      <c r="H505">
        <v>1</v>
      </c>
      <c r="I505" s="3">
        <v>35</v>
      </c>
      <c r="J505" s="4">
        <v>0</v>
      </c>
      <c r="K505" s="5">
        <v>35</v>
      </c>
      <c r="L505" t="s">
        <v>18</v>
      </c>
      <c r="M505">
        <v>5</v>
      </c>
    </row>
    <row r="506" spans="1:13">
      <c r="A506" t="s">
        <v>556</v>
      </c>
      <c r="B506" s="1">
        <v>45966</v>
      </c>
      <c r="C506" t="s">
        <v>34</v>
      </c>
      <c r="D506" t="s">
        <v>35</v>
      </c>
      <c r="E506" t="s">
        <v>20</v>
      </c>
      <c r="F506" t="s">
        <v>55</v>
      </c>
      <c r="G506" t="s">
        <v>2</v>
      </c>
      <c r="H506">
        <v>1</v>
      </c>
      <c r="I506" s="3">
        <v>35</v>
      </c>
      <c r="J506" s="4">
        <v>0.05</v>
      </c>
      <c r="K506" s="5">
        <v>33.25</v>
      </c>
      <c r="L506" t="s">
        <v>23</v>
      </c>
      <c r="M506">
        <v>1</v>
      </c>
    </row>
    <row r="507" spans="1:13">
      <c r="A507" t="s">
        <v>557</v>
      </c>
      <c r="B507" s="1">
        <v>45966</v>
      </c>
      <c r="C507" t="s">
        <v>31</v>
      </c>
      <c r="D507" t="s">
        <v>15</v>
      </c>
      <c r="E507" t="s">
        <v>16</v>
      </c>
      <c r="F507" t="s">
        <v>17</v>
      </c>
      <c r="G507" t="s">
        <v>2</v>
      </c>
      <c r="H507">
        <v>1</v>
      </c>
      <c r="I507" s="3">
        <v>19</v>
      </c>
      <c r="J507" s="4">
        <v>0</v>
      </c>
      <c r="K507" s="5">
        <v>19</v>
      </c>
      <c r="L507" t="s">
        <v>23</v>
      </c>
      <c r="M507">
        <v>5</v>
      </c>
    </row>
    <row r="508" spans="1:13">
      <c r="A508" t="s">
        <v>558</v>
      </c>
      <c r="B508" s="1">
        <v>45967</v>
      </c>
      <c r="C508" t="s">
        <v>40</v>
      </c>
      <c r="D508" t="s">
        <v>41</v>
      </c>
      <c r="E508" t="s">
        <v>20</v>
      </c>
      <c r="F508" t="s">
        <v>75</v>
      </c>
      <c r="G508" t="s">
        <v>2</v>
      </c>
      <c r="H508">
        <v>2</v>
      </c>
      <c r="I508" s="3">
        <v>45</v>
      </c>
      <c r="J508" s="4">
        <v>0</v>
      </c>
      <c r="K508" s="5">
        <v>90</v>
      </c>
      <c r="L508" t="s">
        <v>38</v>
      </c>
      <c r="M508">
        <v>4</v>
      </c>
    </row>
    <row r="509" spans="1:13">
      <c r="A509" t="s">
        <v>559</v>
      </c>
      <c r="B509" s="1">
        <v>45967</v>
      </c>
      <c r="C509" t="s">
        <v>40</v>
      </c>
      <c r="D509" t="s">
        <v>41</v>
      </c>
      <c r="E509" t="s">
        <v>20</v>
      </c>
      <c r="F509" t="s">
        <v>21</v>
      </c>
      <c r="G509" t="s">
        <v>2</v>
      </c>
      <c r="H509">
        <v>2</v>
      </c>
      <c r="I509" s="3">
        <v>69</v>
      </c>
      <c r="J509" s="4">
        <v>0</v>
      </c>
      <c r="K509" s="5">
        <v>138</v>
      </c>
      <c r="L509" t="s">
        <v>23</v>
      </c>
      <c r="M509">
        <v>3</v>
      </c>
    </row>
    <row r="510" spans="1:13">
      <c r="A510" t="s">
        <v>560</v>
      </c>
      <c r="B510" s="1">
        <v>45967</v>
      </c>
      <c r="C510" t="s">
        <v>31</v>
      </c>
      <c r="D510" t="s">
        <v>15</v>
      </c>
      <c r="E510" t="s">
        <v>62</v>
      </c>
      <c r="F510" t="s">
        <v>63</v>
      </c>
      <c r="G510" t="s">
        <v>2</v>
      </c>
      <c r="H510">
        <v>2</v>
      </c>
      <c r="I510" s="3">
        <v>2490</v>
      </c>
      <c r="J510" s="4">
        <v>0</v>
      </c>
      <c r="K510" s="5">
        <v>4980</v>
      </c>
      <c r="L510" t="s">
        <v>23</v>
      </c>
      <c r="M510">
        <v>5</v>
      </c>
    </row>
    <row r="511" spans="1:13">
      <c r="A511" t="s">
        <v>561</v>
      </c>
      <c r="B511" s="1">
        <v>45968</v>
      </c>
      <c r="C511" t="s">
        <v>25</v>
      </c>
      <c r="D511" t="s">
        <v>15</v>
      </c>
      <c r="E511" t="s">
        <v>20</v>
      </c>
      <c r="F511" t="s">
        <v>75</v>
      </c>
      <c r="G511" t="s">
        <v>22</v>
      </c>
      <c r="H511">
        <v>4</v>
      </c>
      <c r="I511" s="3">
        <v>45</v>
      </c>
      <c r="J511" s="4">
        <v>0.15</v>
      </c>
      <c r="K511" s="5">
        <v>153</v>
      </c>
      <c r="L511" t="s">
        <v>23</v>
      </c>
      <c r="M511">
        <v>5</v>
      </c>
    </row>
    <row r="512" spans="1:13">
      <c r="A512" t="s">
        <v>562</v>
      </c>
      <c r="B512" s="1">
        <v>45968</v>
      </c>
      <c r="C512" t="s">
        <v>40</v>
      </c>
      <c r="D512" t="s">
        <v>41</v>
      </c>
      <c r="E512" t="s">
        <v>48</v>
      </c>
      <c r="F512" t="s">
        <v>49</v>
      </c>
      <c r="G512" t="s">
        <v>22</v>
      </c>
      <c r="H512">
        <v>2</v>
      </c>
      <c r="I512" s="3">
        <v>3990</v>
      </c>
      <c r="J512" s="4">
        <v>0</v>
      </c>
      <c r="K512" s="5">
        <v>7980</v>
      </c>
      <c r="L512" t="s">
        <v>38</v>
      </c>
      <c r="M512">
        <v>3</v>
      </c>
    </row>
    <row r="513" spans="1:13">
      <c r="A513" t="s">
        <v>563</v>
      </c>
      <c r="B513" s="1">
        <v>45969</v>
      </c>
      <c r="C513" t="s">
        <v>44</v>
      </c>
      <c r="D513" t="s">
        <v>45</v>
      </c>
      <c r="E513" t="s">
        <v>48</v>
      </c>
      <c r="F513" t="s">
        <v>49</v>
      </c>
      <c r="G513" t="s">
        <v>22</v>
      </c>
      <c r="H513">
        <v>1</v>
      </c>
      <c r="I513" s="3">
        <v>3990</v>
      </c>
      <c r="J513" s="4">
        <v>0.2</v>
      </c>
      <c r="K513" s="5">
        <v>3192</v>
      </c>
      <c r="L513" t="s">
        <v>51</v>
      </c>
      <c r="M513">
        <v>2</v>
      </c>
    </row>
    <row r="514" spans="1:13">
      <c r="A514" t="s">
        <v>564</v>
      </c>
      <c r="B514" s="1">
        <v>45969</v>
      </c>
      <c r="C514" t="s">
        <v>31</v>
      </c>
      <c r="D514" t="s">
        <v>15</v>
      </c>
      <c r="E514" t="s">
        <v>16</v>
      </c>
      <c r="F514" t="s">
        <v>17</v>
      </c>
      <c r="G514" t="s">
        <v>2</v>
      </c>
      <c r="H514">
        <v>1</v>
      </c>
      <c r="I514" s="3">
        <v>19</v>
      </c>
      <c r="J514" s="4">
        <v>0</v>
      </c>
      <c r="K514" s="5">
        <v>19</v>
      </c>
      <c r="L514" t="s">
        <v>23</v>
      </c>
      <c r="M514">
        <v>4</v>
      </c>
    </row>
    <row r="515" spans="1:13">
      <c r="A515" t="s">
        <v>565</v>
      </c>
      <c r="B515" s="1">
        <v>45969</v>
      </c>
      <c r="C515" t="s">
        <v>54</v>
      </c>
      <c r="D515" t="s">
        <v>35</v>
      </c>
      <c r="E515" t="s">
        <v>20</v>
      </c>
      <c r="F515" t="s">
        <v>75</v>
      </c>
      <c r="G515" t="s">
        <v>37</v>
      </c>
      <c r="H515">
        <v>1</v>
      </c>
      <c r="I515" s="3">
        <v>45</v>
      </c>
      <c r="J515" s="4">
        <v>0</v>
      </c>
      <c r="K515" s="5">
        <v>45</v>
      </c>
      <c r="L515" t="s">
        <v>23</v>
      </c>
      <c r="M515">
        <v>4</v>
      </c>
    </row>
    <row r="516" spans="1:13">
      <c r="A516" t="s">
        <v>566</v>
      </c>
      <c r="B516" s="1">
        <v>45969</v>
      </c>
      <c r="C516" t="s">
        <v>57</v>
      </c>
      <c r="D516" t="s">
        <v>15</v>
      </c>
      <c r="E516" t="s">
        <v>20</v>
      </c>
      <c r="F516" t="s">
        <v>55</v>
      </c>
      <c r="G516" t="s">
        <v>2</v>
      </c>
      <c r="H516">
        <v>1</v>
      </c>
      <c r="I516" s="3">
        <v>35</v>
      </c>
      <c r="J516" s="4">
        <v>0.05</v>
      </c>
      <c r="K516" s="5">
        <v>33.25</v>
      </c>
      <c r="L516" t="s">
        <v>18</v>
      </c>
      <c r="M516">
        <v>5</v>
      </c>
    </row>
    <row r="517" spans="1:13">
      <c r="A517" t="s">
        <v>567</v>
      </c>
      <c r="B517" s="1">
        <v>45970</v>
      </c>
      <c r="C517" t="s">
        <v>44</v>
      </c>
      <c r="D517" t="s">
        <v>45</v>
      </c>
      <c r="E517" t="s">
        <v>16</v>
      </c>
      <c r="F517" t="s">
        <v>46</v>
      </c>
      <c r="G517" t="s">
        <v>2</v>
      </c>
      <c r="H517">
        <v>1</v>
      </c>
      <c r="I517" s="3">
        <v>29</v>
      </c>
      <c r="J517" s="4">
        <v>0.15</v>
      </c>
      <c r="K517" s="5">
        <v>24.65</v>
      </c>
      <c r="L517" t="s">
        <v>23</v>
      </c>
      <c r="M517">
        <v>4</v>
      </c>
    </row>
    <row r="518" spans="1:13">
      <c r="A518" t="s">
        <v>568</v>
      </c>
      <c r="B518" s="1">
        <v>45970</v>
      </c>
      <c r="C518" t="s">
        <v>44</v>
      </c>
      <c r="D518" t="s">
        <v>45</v>
      </c>
      <c r="E518" t="s">
        <v>62</v>
      </c>
      <c r="F518" t="s">
        <v>63</v>
      </c>
      <c r="G518" t="s">
        <v>2</v>
      </c>
      <c r="H518">
        <v>1</v>
      </c>
      <c r="I518" s="3">
        <v>2490</v>
      </c>
      <c r="J518" s="4">
        <v>0</v>
      </c>
      <c r="K518" s="5">
        <v>2490</v>
      </c>
      <c r="L518" t="s">
        <v>23</v>
      </c>
      <c r="M518">
        <v>5</v>
      </c>
    </row>
    <row r="519" spans="1:13">
      <c r="A519" t="s">
        <v>569</v>
      </c>
      <c r="B519" s="1">
        <v>45971</v>
      </c>
      <c r="C519" t="s">
        <v>31</v>
      </c>
      <c r="D519" t="s">
        <v>15</v>
      </c>
      <c r="E519" t="s">
        <v>16</v>
      </c>
      <c r="F519" t="s">
        <v>32</v>
      </c>
      <c r="G519" t="s">
        <v>2</v>
      </c>
      <c r="H519">
        <v>1</v>
      </c>
      <c r="I519" s="3">
        <v>89</v>
      </c>
      <c r="J519" s="4">
        <v>0.1</v>
      </c>
      <c r="K519" s="5">
        <v>80.099999999999994</v>
      </c>
      <c r="L519" t="s">
        <v>23</v>
      </c>
      <c r="M519">
        <v>3</v>
      </c>
    </row>
    <row r="520" spans="1:13">
      <c r="A520" t="s">
        <v>570</v>
      </c>
      <c r="B520" s="1">
        <v>45971</v>
      </c>
      <c r="C520" t="s">
        <v>40</v>
      </c>
      <c r="D520" t="s">
        <v>41</v>
      </c>
      <c r="E520" t="s">
        <v>16</v>
      </c>
      <c r="F520" t="s">
        <v>46</v>
      </c>
      <c r="G520" t="s">
        <v>2</v>
      </c>
      <c r="H520">
        <v>1</v>
      </c>
      <c r="I520" s="3">
        <v>29</v>
      </c>
      <c r="J520" s="4">
        <v>0.2</v>
      </c>
      <c r="K520" s="5">
        <v>23.2</v>
      </c>
      <c r="L520" t="s">
        <v>38</v>
      </c>
      <c r="M520">
        <v>4</v>
      </c>
    </row>
    <row r="521" spans="1:13">
      <c r="A521" t="s">
        <v>571</v>
      </c>
      <c r="B521" s="1">
        <v>45971</v>
      </c>
      <c r="C521" t="s">
        <v>54</v>
      </c>
      <c r="D521" t="s">
        <v>35</v>
      </c>
      <c r="E521" t="s">
        <v>62</v>
      </c>
      <c r="F521" t="s">
        <v>100</v>
      </c>
      <c r="G521" t="s">
        <v>37</v>
      </c>
      <c r="H521">
        <v>1</v>
      </c>
      <c r="I521" s="3">
        <v>1190</v>
      </c>
      <c r="J521" s="4">
        <v>0</v>
      </c>
      <c r="K521" s="5">
        <v>1190</v>
      </c>
      <c r="L521" t="s">
        <v>18</v>
      </c>
      <c r="M521">
        <v>5</v>
      </c>
    </row>
    <row r="522" spans="1:13">
      <c r="A522" t="s">
        <v>572</v>
      </c>
      <c r="B522" s="1">
        <v>45972</v>
      </c>
      <c r="C522" t="s">
        <v>54</v>
      </c>
      <c r="D522" t="s">
        <v>35</v>
      </c>
      <c r="E522" t="s">
        <v>26</v>
      </c>
      <c r="F522" t="s">
        <v>29</v>
      </c>
      <c r="G522" t="s">
        <v>2</v>
      </c>
      <c r="H522">
        <v>1</v>
      </c>
      <c r="I522" s="3">
        <v>549</v>
      </c>
      <c r="J522" s="4">
        <v>0</v>
      </c>
      <c r="K522" s="5">
        <v>549</v>
      </c>
      <c r="L522" t="s">
        <v>18</v>
      </c>
    </row>
    <row r="523" spans="1:13">
      <c r="A523" t="s">
        <v>573</v>
      </c>
      <c r="B523" s="1">
        <v>45972</v>
      </c>
      <c r="C523" t="s">
        <v>44</v>
      </c>
      <c r="D523" t="s">
        <v>45</v>
      </c>
      <c r="E523" t="s">
        <v>62</v>
      </c>
      <c r="F523" t="s">
        <v>63</v>
      </c>
      <c r="G523" t="s">
        <v>2</v>
      </c>
      <c r="H523">
        <v>1</v>
      </c>
      <c r="I523" s="3">
        <v>2490</v>
      </c>
      <c r="J523" s="4">
        <v>0</v>
      </c>
      <c r="K523" s="5">
        <v>2490</v>
      </c>
      <c r="L523" t="s">
        <v>23</v>
      </c>
      <c r="M523">
        <v>5</v>
      </c>
    </row>
    <row r="524" spans="1:13">
      <c r="A524" t="s">
        <v>574</v>
      </c>
      <c r="B524" s="1">
        <v>45972</v>
      </c>
      <c r="C524" t="s">
        <v>31</v>
      </c>
      <c r="D524" t="s">
        <v>15</v>
      </c>
      <c r="E524" t="s">
        <v>20</v>
      </c>
      <c r="F524" t="s">
        <v>75</v>
      </c>
      <c r="G524" t="s">
        <v>22</v>
      </c>
      <c r="H524">
        <v>1</v>
      </c>
      <c r="I524" s="3">
        <v>45</v>
      </c>
      <c r="J524" s="4">
        <v>0.1</v>
      </c>
      <c r="K524" s="5">
        <v>40.5</v>
      </c>
      <c r="L524" t="s">
        <v>23</v>
      </c>
    </row>
    <row r="525" spans="1:13">
      <c r="A525" t="s">
        <v>575</v>
      </c>
      <c r="B525" s="1">
        <v>45972</v>
      </c>
      <c r="C525" t="s">
        <v>31</v>
      </c>
      <c r="D525" t="s">
        <v>15</v>
      </c>
      <c r="E525" t="s">
        <v>62</v>
      </c>
      <c r="F525" t="s">
        <v>63</v>
      </c>
      <c r="G525" t="s">
        <v>37</v>
      </c>
      <c r="H525">
        <v>1</v>
      </c>
      <c r="I525" s="3">
        <v>2490</v>
      </c>
      <c r="J525" s="4">
        <v>0</v>
      </c>
      <c r="K525" s="5">
        <v>2490</v>
      </c>
      <c r="L525" t="s">
        <v>23</v>
      </c>
      <c r="M525">
        <v>4</v>
      </c>
    </row>
    <row r="526" spans="1:13">
      <c r="A526" t="s">
        <v>576</v>
      </c>
      <c r="B526" s="1">
        <v>45977</v>
      </c>
      <c r="C526" t="s">
        <v>57</v>
      </c>
      <c r="D526" t="s">
        <v>15</v>
      </c>
      <c r="E526" t="s">
        <v>62</v>
      </c>
      <c r="F526" t="s">
        <v>77</v>
      </c>
      <c r="G526" t="s">
        <v>22</v>
      </c>
      <c r="H526">
        <v>1</v>
      </c>
      <c r="I526" s="3">
        <v>899</v>
      </c>
      <c r="J526" s="4">
        <v>0</v>
      </c>
      <c r="K526" s="5">
        <v>899</v>
      </c>
      <c r="L526" t="s">
        <v>23</v>
      </c>
      <c r="M526">
        <v>5</v>
      </c>
    </row>
    <row r="527" spans="1:13">
      <c r="A527" t="s">
        <v>577</v>
      </c>
      <c r="B527" s="1">
        <v>45978</v>
      </c>
      <c r="C527" t="s">
        <v>34</v>
      </c>
      <c r="D527" t="s">
        <v>35</v>
      </c>
      <c r="E527" t="s">
        <v>20</v>
      </c>
      <c r="F527" t="s">
        <v>75</v>
      </c>
      <c r="G527" t="s">
        <v>2</v>
      </c>
      <c r="H527">
        <v>3</v>
      </c>
      <c r="I527" s="3">
        <v>45</v>
      </c>
      <c r="J527" s="4">
        <v>0.2</v>
      </c>
      <c r="K527" s="5">
        <v>108</v>
      </c>
      <c r="L527" t="s">
        <v>23</v>
      </c>
      <c r="M527">
        <v>4</v>
      </c>
    </row>
    <row r="528" spans="1:13">
      <c r="A528" t="s">
        <v>578</v>
      </c>
      <c r="B528" s="1">
        <v>45978</v>
      </c>
      <c r="C528" t="s">
        <v>57</v>
      </c>
      <c r="D528" t="s">
        <v>15</v>
      </c>
      <c r="E528" t="s">
        <v>62</v>
      </c>
      <c r="F528" t="s">
        <v>77</v>
      </c>
      <c r="G528" t="s">
        <v>22</v>
      </c>
      <c r="H528">
        <v>1</v>
      </c>
      <c r="I528" s="3">
        <v>899</v>
      </c>
      <c r="J528" s="4">
        <v>0.15</v>
      </c>
      <c r="K528" s="5">
        <v>764.15</v>
      </c>
      <c r="L528" t="s">
        <v>23</v>
      </c>
      <c r="M528">
        <v>5</v>
      </c>
    </row>
    <row r="529" spans="1:13">
      <c r="A529" t="s">
        <v>579</v>
      </c>
      <c r="B529" s="1">
        <v>45978</v>
      </c>
      <c r="C529" t="s">
        <v>54</v>
      </c>
      <c r="D529" t="s">
        <v>35</v>
      </c>
      <c r="E529" t="s">
        <v>20</v>
      </c>
      <c r="F529" t="s">
        <v>21</v>
      </c>
      <c r="G529" t="s">
        <v>2</v>
      </c>
      <c r="H529">
        <v>1</v>
      </c>
      <c r="I529" s="3">
        <v>69</v>
      </c>
      <c r="J529" s="4">
        <v>0.15</v>
      </c>
      <c r="K529" s="5">
        <v>58.65</v>
      </c>
      <c r="L529" t="s">
        <v>23</v>
      </c>
      <c r="M529">
        <v>5</v>
      </c>
    </row>
    <row r="530" spans="1:13">
      <c r="A530" t="s">
        <v>580</v>
      </c>
      <c r="B530" s="1">
        <v>45979</v>
      </c>
      <c r="C530" t="s">
        <v>31</v>
      </c>
      <c r="D530" t="s">
        <v>15</v>
      </c>
      <c r="E530" t="s">
        <v>20</v>
      </c>
      <c r="F530" t="s">
        <v>42</v>
      </c>
      <c r="G530" t="s">
        <v>2</v>
      </c>
      <c r="H530">
        <v>1</v>
      </c>
      <c r="I530" s="3">
        <v>59</v>
      </c>
      <c r="J530" s="4">
        <v>0.15</v>
      </c>
      <c r="K530" s="5">
        <v>50.15</v>
      </c>
      <c r="L530" t="s">
        <v>38</v>
      </c>
      <c r="M530">
        <v>4</v>
      </c>
    </row>
    <row r="531" spans="1:13">
      <c r="A531" t="s">
        <v>581</v>
      </c>
      <c r="B531" s="1">
        <v>45980</v>
      </c>
      <c r="C531" t="s">
        <v>40</v>
      </c>
      <c r="D531" t="s">
        <v>41</v>
      </c>
      <c r="E531" t="s">
        <v>20</v>
      </c>
      <c r="F531" t="s">
        <v>55</v>
      </c>
      <c r="G531" t="s">
        <v>37</v>
      </c>
      <c r="H531">
        <v>1</v>
      </c>
      <c r="I531" s="3">
        <v>35</v>
      </c>
      <c r="J531" s="4">
        <v>0</v>
      </c>
      <c r="K531" s="5">
        <v>35</v>
      </c>
      <c r="L531" t="s">
        <v>51</v>
      </c>
    </row>
    <row r="532" spans="1:13">
      <c r="A532" t="s">
        <v>582</v>
      </c>
      <c r="B532" s="1">
        <v>45980</v>
      </c>
      <c r="C532" t="s">
        <v>31</v>
      </c>
      <c r="D532" t="s">
        <v>15</v>
      </c>
      <c r="E532" t="s">
        <v>20</v>
      </c>
      <c r="F532" t="s">
        <v>42</v>
      </c>
      <c r="G532" t="s">
        <v>22</v>
      </c>
      <c r="H532">
        <v>1</v>
      </c>
      <c r="I532" s="3">
        <v>59</v>
      </c>
      <c r="J532" s="4">
        <v>0.2</v>
      </c>
      <c r="K532" s="5">
        <v>47.2</v>
      </c>
      <c r="L532" t="s">
        <v>51</v>
      </c>
      <c r="M532">
        <v>4</v>
      </c>
    </row>
    <row r="533" spans="1:13">
      <c r="A533" t="s">
        <v>583</v>
      </c>
      <c r="B533" s="1">
        <v>45980</v>
      </c>
      <c r="C533" t="s">
        <v>14</v>
      </c>
      <c r="D533" t="s">
        <v>15</v>
      </c>
      <c r="E533" t="s">
        <v>20</v>
      </c>
      <c r="F533" t="s">
        <v>75</v>
      </c>
      <c r="G533" t="s">
        <v>22</v>
      </c>
      <c r="H533">
        <v>1</v>
      </c>
      <c r="I533" s="3">
        <v>45</v>
      </c>
      <c r="J533" s="4">
        <v>0.1</v>
      </c>
      <c r="K533" s="5">
        <v>40.5</v>
      </c>
      <c r="L533" t="s">
        <v>23</v>
      </c>
      <c r="M533">
        <v>4</v>
      </c>
    </row>
    <row r="534" spans="1:13">
      <c r="A534" t="s">
        <v>584</v>
      </c>
      <c r="B534" s="1">
        <v>45980</v>
      </c>
      <c r="C534" t="s">
        <v>54</v>
      </c>
      <c r="D534" t="s">
        <v>35</v>
      </c>
      <c r="E534" t="s">
        <v>20</v>
      </c>
      <c r="F534" t="s">
        <v>75</v>
      </c>
      <c r="G534" t="s">
        <v>37</v>
      </c>
      <c r="H534">
        <v>1</v>
      </c>
      <c r="I534" s="3">
        <v>45</v>
      </c>
      <c r="J534" s="4">
        <v>0</v>
      </c>
      <c r="K534" s="5">
        <v>45</v>
      </c>
      <c r="L534" t="s">
        <v>18</v>
      </c>
      <c r="M534">
        <v>3</v>
      </c>
    </row>
    <row r="535" spans="1:13">
      <c r="A535" t="s">
        <v>585</v>
      </c>
      <c r="B535" s="1">
        <v>45981</v>
      </c>
      <c r="C535" t="s">
        <v>14</v>
      </c>
      <c r="D535" t="s">
        <v>15</v>
      </c>
      <c r="E535" t="s">
        <v>16</v>
      </c>
      <c r="F535" t="s">
        <v>17</v>
      </c>
      <c r="G535" t="s">
        <v>2</v>
      </c>
      <c r="H535">
        <v>1</v>
      </c>
      <c r="I535" s="3">
        <v>19</v>
      </c>
      <c r="J535" s="4">
        <v>0</v>
      </c>
      <c r="K535" s="5">
        <v>19</v>
      </c>
      <c r="L535" t="s">
        <v>51</v>
      </c>
      <c r="M535">
        <v>4</v>
      </c>
    </row>
    <row r="536" spans="1:13">
      <c r="A536" t="s">
        <v>586</v>
      </c>
      <c r="B536" s="1">
        <v>45981</v>
      </c>
      <c r="C536" t="s">
        <v>54</v>
      </c>
      <c r="D536" t="s">
        <v>35</v>
      </c>
      <c r="E536" t="s">
        <v>26</v>
      </c>
      <c r="F536" t="s">
        <v>60</v>
      </c>
      <c r="G536" t="s">
        <v>22</v>
      </c>
      <c r="H536">
        <v>1</v>
      </c>
      <c r="I536" s="3">
        <v>1890</v>
      </c>
      <c r="J536" s="4">
        <v>0.05</v>
      </c>
      <c r="K536" s="5">
        <v>1795.5</v>
      </c>
      <c r="L536" t="s">
        <v>23</v>
      </c>
      <c r="M536">
        <v>5</v>
      </c>
    </row>
    <row r="537" spans="1:13">
      <c r="A537" t="s">
        <v>587</v>
      </c>
      <c r="B537" s="1">
        <v>45981</v>
      </c>
      <c r="C537" t="s">
        <v>54</v>
      </c>
      <c r="D537" t="s">
        <v>35</v>
      </c>
      <c r="E537" t="s">
        <v>26</v>
      </c>
      <c r="F537" t="s">
        <v>29</v>
      </c>
      <c r="G537" t="s">
        <v>2</v>
      </c>
      <c r="H537">
        <v>1</v>
      </c>
      <c r="I537" s="3">
        <v>549</v>
      </c>
      <c r="J537" s="4">
        <v>0.2</v>
      </c>
      <c r="K537" s="5">
        <v>439.2</v>
      </c>
      <c r="L537" t="s">
        <v>23</v>
      </c>
      <c r="M537">
        <v>4</v>
      </c>
    </row>
    <row r="538" spans="1:13">
      <c r="A538" t="s">
        <v>588</v>
      </c>
      <c r="B538" s="1">
        <v>45981</v>
      </c>
      <c r="C538" t="s">
        <v>14</v>
      </c>
      <c r="D538" t="s">
        <v>15</v>
      </c>
      <c r="E538" t="s">
        <v>26</v>
      </c>
      <c r="F538" t="s">
        <v>27</v>
      </c>
      <c r="G538" t="s">
        <v>37</v>
      </c>
      <c r="H538">
        <v>1</v>
      </c>
      <c r="I538" s="3">
        <v>699</v>
      </c>
      <c r="J538" s="4">
        <v>0.2</v>
      </c>
      <c r="K538" s="5">
        <v>559.20000000000005</v>
      </c>
      <c r="L538" t="s">
        <v>23</v>
      </c>
      <c r="M538">
        <v>4</v>
      </c>
    </row>
    <row r="539" spans="1:13">
      <c r="A539" t="s">
        <v>589</v>
      </c>
      <c r="B539" s="1">
        <v>45982</v>
      </c>
      <c r="C539" t="s">
        <v>40</v>
      </c>
      <c r="D539" t="s">
        <v>41</v>
      </c>
      <c r="E539" t="s">
        <v>48</v>
      </c>
      <c r="F539" t="s">
        <v>79</v>
      </c>
      <c r="G539" t="s">
        <v>2</v>
      </c>
      <c r="H539">
        <v>1</v>
      </c>
      <c r="I539" s="3">
        <v>1790</v>
      </c>
      <c r="J539" s="4">
        <v>0.1</v>
      </c>
      <c r="K539" s="5">
        <v>1611</v>
      </c>
      <c r="L539" t="s">
        <v>23</v>
      </c>
      <c r="M539">
        <v>4</v>
      </c>
    </row>
    <row r="540" spans="1:13">
      <c r="A540" t="s">
        <v>590</v>
      </c>
      <c r="B540" s="1">
        <v>45982</v>
      </c>
      <c r="C540" t="s">
        <v>44</v>
      </c>
      <c r="D540" t="s">
        <v>45</v>
      </c>
      <c r="E540" t="s">
        <v>26</v>
      </c>
      <c r="F540" t="s">
        <v>60</v>
      </c>
      <c r="G540" t="s">
        <v>22</v>
      </c>
      <c r="H540">
        <v>1</v>
      </c>
      <c r="I540" s="3">
        <v>1890</v>
      </c>
      <c r="J540" s="4">
        <v>0</v>
      </c>
      <c r="K540" s="5">
        <v>1890</v>
      </c>
      <c r="L540" t="s">
        <v>23</v>
      </c>
      <c r="M540">
        <v>4</v>
      </c>
    </row>
    <row r="541" spans="1:13">
      <c r="A541" t="s">
        <v>591</v>
      </c>
      <c r="B541" s="1">
        <v>45983</v>
      </c>
      <c r="C541" t="s">
        <v>34</v>
      </c>
      <c r="D541" t="s">
        <v>35</v>
      </c>
      <c r="E541" t="s">
        <v>20</v>
      </c>
      <c r="F541" t="s">
        <v>55</v>
      </c>
      <c r="G541" t="s">
        <v>22</v>
      </c>
      <c r="H541">
        <v>1</v>
      </c>
      <c r="I541" s="3">
        <v>35</v>
      </c>
      <c r="J541" s="4">
        <v>0</v>
      </c>
      <c r="K541" s="5">
        <v>35</v>
      </c>
      <c r="L541" t="s">
        <v>51</v>
      </c>
      <c r="M541">
        <v>5</v>
      </c>
    </row>
    <row r="542" spans="1:13">
      <c r="A542" t="s">
        <v>592</v>
      </c>
      <c r="B542" s="1">
        <v>45983</v>
      </c>
      <c r="C542" t="s">
        <v>31</v>
      </c>
      <c r="D542" t="s">
        <v>15</v>
      </c>
      <c r="E542" t="s">
        <v>20</v>
      </c>
      <c r="F542" t="s">
        <v>55</v>
      </c>
      <c r="G542" t="s">
        <v>2</v>
      </c>
      <c r="H542">
        <v>1</v>
      </c>
      <c r="I542" s="3">
        <v>35</v>
      </c>
      <c r="J542" s="4">
        <v>0.05</v>
      </c>
      <c r="K542" s="5">
        <v>33.25</v>
      </c>
      <c r="L542" t="s">
        <v>51</v>
      </c>
      <c r="M542">
        <v>5</v>
      </c>
    </row>
    <row r="543" spans="1:13">
      <c r="A543" t="s">
        <v>593</v>
      </c>
      <c r="B543" s="1">
        <v>45985</v>
      </c>
      <c r="C543" t="s">
        <v>40</v>
      </c>
      <c r="D543" t="s">
        <v>41</v>
      </c>
      <c r="E543" t="s">
        <v>20</v>
      </c>
      <c r="F543" t="s">
        <v>21</v>
      </c>
      <c r="G543" t="s">
        <v>2</v>
      </c>
      <c r="H543">
        <v>1</v>
      </c>
      <c r="I543" s="3">
        <v>69</v>
      </c>
      <c r="J543" s="4">
        <v>0.1</v>
      </c>
      <c r="K543" s="5">
        <v>62.1</v>
      </c>
      <c r="L543" t="s">
        <v>18</v>
      </c>
      <c r="M543">
        <v>4</v>
      </c>
    </row>
    <row r="544" spans="1:13">
      <c r="A544" t="s">
        <v>594</v>
      </c>
      <c r="B544" s="1">
        <v>45985</v>
      </c>
      <c r="C544" t="s">
        <v>44</v>
      </c>
      <c r="D544" t="s">
        <v>45</v>
      </c>
      <c r="E544" t="s">
        <v>48</v>
      </c>
      <c r="F544" t="s">
        <v>79</v>
      </c>
      <c r="G544" t="s">
        <v>2</v>
      </c>
      <c r="H544">
        <v>1</v>
      </c>
      <c r="I544" s="3">
        <v>1790</v>
      </c>
      <c r="J544" s="4">
        <v>0.05</v>
      </c>
      <c r="K544" s="5">
        <v>1700.5</v>
      </c>
      <c r="L544" t="s">
        <v>23</v>
      </c>
      <c r="M544">
        <v>5</v>
      </c>
    </row>
    <row r="545" spans="1:13">
      <c r="A545" t="s">
        <v>595</v>
      </c>
      <c r="B545" s="1">
        <v>45985</v>
      </c>
      <c r="C545" t="s">
        <v>14</v>
      </c>
      <c r="D545" t="s">
        <v>15</v>
      </c>
      <c r="E545" t="s">
        <v>48</v>
      </c>
      <c r="F545" t="s">
        <v>65</v>
      </c>
      <c r="G545" t="s">
        <v>2</v>
      </c>
      <c r="H545">
        <v>1</v>
      </c>
      <c r="I545" s="3">
        <v>2590</v>
      </c>
      <c r="J545" s="4">
        <v>0</v>
      </c>
      <c r="K545" s="5">
        <v>2590</v>
      </c>
      <c r="L545" t="s">
        <v>23</v>
      </c>
      <c r="M545">
        <v>4</v>
      </c>
    </row>
    <row r="546" spans="1:13">
      <c r="A546" t="s">
        <v>596</v>
      </c>
      <c r="B546" s="1">
        <v>45985</v>
      </c>
      <c r="C546" t="s">
        <v>14</v>
      </c>
      <c r="D546" t="s">
        <v>15</v>
      </c>
      <c r="E546" t="s">
        <v>62</v>
      </c>
      <c r="F546" t="s">
        <v>100</v>
      </c>
      <c r="G546" t="s">
        <v>2</v>
      </c>
      <c r="H546">
        <v>2</v>
      </c>
      <c r="I546" s="3">
        <v>1190</v>
      </c>
      <c r="J546" s="4">
        <v>0</v>
      </c>
      <c r="K546" s="5">
        <v>2380</v>
      </c>
      <c r="L546" t="s">
        <v>38</v>
      </c>
      <c r="M546">
        <v>4</v>
      </c>
    </row>
    <row r="547" spans="1:13">
      <c r="A547" t="s">
        <v>597</v>
      </c>
      <c r="B547" s="1">
        <v>45985</v>
      </c>
      <c r="C547" t="s">
        <v>54</v>
      </c>
      <c r="D547" t="s">
        <v>35</v>
      </c>
      <c r="E547" t="s">
        <v>48</v>
      </c>
      <c r="F547" t="s">
        <v>49</v>
      </c>
      <c r="G547" t="s">
        <v>37</v>
      </c>
      <c r="H547">
        <v>1</v>
      </c>
      <c r="I547" s="3">
        <v>3990</v>
      </c>
      <c r="J547" s="4">
        <v>0</v>
      </c>
      <c r="K547" s="5">
        <v>3990</v>
      </c>
      <c r="L547" t="s">
        <v>23</v>
      </c>
      <c r="M547">
        <v>4</v>
      </c>
    </row>
    <row r="548" spans="1:13">
      <c r="A548" t="s">
        <v>598</v>
      </c>
      <c r="B548" s="1">
        <v>45987</v>
      </c>
      <c r="C548" t="s">
        <v>25</v>
      </c>
      <c r="D548" t="s">
        <v>15</v>
      </c>
      <c r="E548" t="s">
        <v>48</v>
      </c>
      <c r="F548" t="s">
        <v>49</v>
      </c>
      <c r="G548" t="s">
        <v>22</v>
      </c>
      <c r="H548">
        <v>1</v>
      </c>
      <c r="I548" s="3">
        <v>3990</v>
      </c>
      <c r="J548" s="4">
        <v>0.2</v>
      </c>
      <c r="K548" s="5">
        <v>3192</v>
      </c>
      <c r="L548" t="s">
        <v>23</v>
      </c>
      <c r="M548">
        <v>5</v>
      </c>
    </row>
    <row r="549" spans="1:13">
      <c r="A549" t="s">
        <v>599</v>
      </c>
      <c r="B549" s="1">
        <v>45988</v>
      </c>
      <c r="C549" t="s">
        <v>57</v>
      </c>
      <c r="D549" t="s">
        <v>15</v>
      </c>
      <c r="E549" t="s">
        <v>16</v>
      </c>
      <c r="F549" t="s">
        <v>32</v>
      </c>
      <c r="G549" t="s">
        <v>2</v>
      </c>
      <c r="H549">
        <v>1</v>
      </c>
      <c r="I549" s="3">
        <v>89</v>
      </c>
      <c r="J549" s="4">
        <v>0</v>
      </c>
      <c r="K549" s="5">
        <v>89</v>
      </c>
      <c r="L549" t="s">
        <v>23</v>
      </c>
      <c r="M549">
        <v>5</v>
      </c>
    </row>
    <row r="550" spans="1:13">
      <c r="A550" t="s">
        <v>600</v>
      </c>
      <c r="B550" s="1">
        <v>45988</v>
      </c>
      <c r="C550" t="s">
        <v>40</v>
      </c>
      <c r="D550" t="s">
        <v>41</v>
      </c>
      <c r="E550" t="s">
        <v>20</v>
      </c>
      <c r="F550" t="s">
        <v>42</v>
      </c>
      <c r="G550" t="s">
        <v>2</v>
      </c>
      <c r="H550">
        <v>1</v>
      </c>
      <c r="I550" s="3">
        <v>59</v>
      </c>
      <c r="J550" s="4">
        <v>0.1</v>
      </c>
      <c r="K550" s="5">
        <v>53.1</v>
      </c>
      <c r="L550" t="s">
        <v>38</v>
      </c>
      <c r="M550">
        <v>4</v>
      </c>
    </row>
    <row r="551" spans="1:13">
      <c r="A551" t="s">
        <v>601</v>
      </c>
      <c r="B551" s="1">
        <v>45989</v>
      </c>
      <c r="C551" t="s">
        <v>40</v>
      </c>
      <c r="D551" t="s">
        <v>41</v>
      </c>
      <c r="E551" t="s">
        <v>20</v>
      </c>
      <c r="F551" t="s">
        <v>75</v>
      </c>
      <c r="G551" t="s">
        <v>2</v>
      </c>
      <c r="H551">
        <v>1</v>
      </c>
      <c r="I551" s="3">
        <v>45</v>
      </c>
      <c r="J551" s="4">
        <v>0.15</v>
      </c>
      <c r="K551" s="5">
        <v>38.25</v>
      </c>
      <c r="L551" t="s">
        <v>23</v>
      </c>
      <c r="M551">
        <v>5</v>
      </c>
    </row>
    <row r="552" spans="1:13">
      <c r="A552" t="s">
        <v>602</v>
      </c>
      <c r="B552" s="1">
        <v>45990</v>
      </c>
      <c r="C552" t="s">
        <v>54</v>
      </c>
      <c r="D552" t="s">
        <v>35</v>
      </c>
      <c r="E552" t="s">
        <v>20</v>
      </c>
      <c r="F552" t="s">
        <v>42</v>
      </c>
      <c r="G552" t="s">
        <v>2</v>
      </c>
      <c r="H552">
        <v>1</v>
      </c>
      <c r="I552" s="3">
        <v>59</v>
      </c>
      <c r="J552" s="4">
        <v>0</v>
      </c>
      <c r="K552" s="5">
        <v>59</v>
      </c>
      <c r="L552" t="s">
        <v>23</v>
      </c>
      <c r="M552">
        <v>4</v>
      </c>
    </row>
    <row r="553" spans="1:13">
      <c r="A553" t="s">
        <v>603</v>
      </c>
      <c r="B553" s="1">
        <v>45990</v>
      </c>
      <c r="C553" t="s">
        <v>25</v>
      </c>
      <c r="D553" t="s">
        <v>15</v>
      </c>
      <c r="E553" t="s">
        <v>48</v>
      </c>
      <c r="F553" t="s">
        <v>65</v>
      </c>
      <c r="G553" t="s">
        <v>22</v>
      </c>
      <c r="H553">
        <v>1</v>
      </c>
      <c r="I553" s="3">
        <v>2590</v>
      </c>
      <c r="J553" s="4">
        <v>0.1</v>
      </c>
      <c r="K553" s="5">
        <v>2331</v>
      </c>
      <c r="L553" t="s">
        <v>23</v>
      </c>
      <c r="M553">
        <v>3</v>
      </c>
    </row>
    <row r="554" spans="1:13">
      <c r="A554" t="s">
        <v>604</v>
      </c>
      <c r="B554" s="1">
        <v>45991</v>
      </c>
      <c r="C554" t="s">
        <v>57</v>
      </c>
      <c r="D554" t="s">
        <v>15</v>
      </c>
      <c r="E554" t="s">
        <v>62</v>
      </c>
      <c r="F554" t="s">
        <v>63</v>
      </c>
      <c r="G554" t="s">
        <v>22</v>
      </c>
      <c r="H554">
        <v>1</v>
      </c>
      <c r="I554" s="3">
        <v>2490</v>
      </c>
      <c r="J554" s="4">
        <v>0.2</v>
      </c>
      <c r="K554" s="5">
        <v>1992</v>
      </c>
      <c r="L554" t="s">
        <v>23</v>
      </c>
      <c r="M554">
        <v>4</v>
      </c>
    </row>
    <row r="555" spans="1:13">
      <c r="A555" t="s">
        <v>605</v>
      </c>
      <c r="B555" s="1">
        <v>45992</v>
      </c>
      <c r="C555" t="s">
        <v>25</v>
      </c>
      <c r="D555" t="s">
        <v>15</v>
      </c>
      <c r="E555" t="s">
        <v>26</v>
      </c>
      <c r="F555" t="s">
        <v>60</v>
      </c>
      <c r="G555" t="s">
        <v>37</v>
      </c>
      <c r="H555">
        <v>1</v>
      </c>
      <c r="I555" s="3">
        <v>1890</v>
      </c>
      <c r="J555" s="4">
        <v>0</v>
      </c>
      <c r="K555" s="5">
        <v>1890</v>
      </c>
      <c r="L555" t="s">
        <v>18</v>
      </c>
    </row>
    <row r="556" spans="1:13">
      <c r="A556" t="s">
        <v>606</v>
      </c>
      <c r="B556" s="1">
        <v>45993</v>
      </c>
      <c r="C556" t="s">
        <v>44</v>
      </c>
      <c r="D556" t="s">
        <v>45</v>
      </c>
      <c r="E556" t="s">
        <v>20</v>
      </c>
      <c r="F556" t="s">
        <v>21</v>
      </c>
      <c r="G556" t="s">
        <v>37</v>
      </c>
      <c r="H556">
        <v>2</v>
      </c>
      <c r="I556" s="3">
        <v>69</v>
      </c>
      <c r="J556" s="4">
        <v>0.1</v>
      </c>
      <c r="K556" s="5">
        <v>124.2</v>
      </c>
      <c r="L556" t="s">
        <v>23</v>
      </c>
      <c r="M556">
        <v>5</v>
      </c>
    </row>
    <row r="557" spans="1:13">
      <c r="A557" t="s">
        <v>607</v>
      </c>
      <c r="B557" s="1">
        <v>45993</v>
      </c>
      <c r="C557" t="s">
        <v>57</v>
      </c>
      <c r="D557" t="s">
        <v>15</v>
      </c>
      <c r="E557" t="s">
        <v>20</v>
      </c>
      <c r="F557" t="s">
        <v>42</v>
      </c>
      <c r="G557" t="s">
        <v>22</v>
      </c>
      <c r="H557">
        <v>1</v>
      </c>
      <c r="I557" s="3">
        <v>59</v>
      </c>
      <c r="J557" s="4">
        <v>0</v>
      </c>
      <c r="K557" s="5">
        <v>59</v>
      </c>
      <c r="L557" t="s">
        <v>38</v>
      </c>
      <c r="M557">
        <v>5</v>
      </c>
    </row>
    <row r="558" spans="1:13">
      <c r="A558" t="s">
        <v>608</v>
      </c>
      <c r="B558" s="1">
        <v>45994</v>
      </c>
      <c r="C558" t="s">
        <v>57</v>
      </c>
      <c r="D558" t="s">
        <v>15</v>
      </c>
      <c r="E558" t="s">
        <v>16</v>
      </c>
      <c r="F558" t="s">
        <v>46</v>
      </c>
      <c r="G558" t="s">
        <v>2</v>
      </c>
      <c r="H558">
        <v>1</v>
      </c>
      <c r="I558" s="3">
        <v>29</v>
      </c>
      <c r="J558" s="4">
        <v>0.1</v>
      </c>
      <c r="K558" s="5">
        <v>26.1</v>
      </c>
      <c r="L558" t="s">
        <v>23</v>
      </c>
      <c r="M558">
        <v>5</v>
      </c>
    </row>
    <row r="559" spans="1:13">
      <c r="A559" t="s">
        <v>609</v>
      </c>
      <c r="B559" s="1">
        <v>45994</v>
      </c>
      <c r="C559" t="s">
        <v>54</v>
      </c>
      <c r="D559" t="s">
        <v>35</v>
      </c>
      <c r="E559" t="s">
        <v>16</v>
      </c>
      <c r="F559" t="s">
        <v>46</v>
      </c>
      <c r="G559" t="s">
        <v>2</v>
      </c>
      <c r="H559">
        <v>1</v>
      </c>
      <c r="I559" s="3">
        <v>29</v>
      </c>
      <c r="J559" s="4">
        <v>0.05</v>
      </c>
      <c r="K559" s="5">
        <v>27.55</v>
      </c>
      <c r="L559" t="s">
        <v>23</v>
      </c>
      <c r="M559">
        <v>3</v>
      </c>
    </row>
    <row r="560" spans="1:13">
      <c r="A560" t="s">
        <v>610</v>
      </c>
      <c r="B560" s="1">
        <v>45994</v>
      </c>
      <c r="C560" t="s">
        <v>54</v>
      </c>
      <c r="D560" t="s">
        <v>35</v>
      </c>
      <c r="E560" t="s">
        <v>20</v>
      </c>
      <c r="F560" t="s">
        <v>21</v>
      </c>
      <c r="G560" t="s">
        <v>22</v>
      </c>
      <c r="H560">
        <v>1</v>
      </c>
      <c r="I560" s="3">
        <v>69</v>
      </c>
      <c r="J560" s="4">
        <v>0</v>
      </c>
      <c r="K560" s="5">
        <v>69</v>
      </c>
      <c r="L560" t="s">
        <v>23</v>
      </c>
      <c r="M560">
        <v>2</v>
      </c>
    </row>
    <row r="561" spans="1:13">
      <c r="A561" t="s">
        <v>611</v>
      </c>
      <c r="B561" s="1">
        <v>45995</v>
      </c>
      <c r="C561" t="s">
        <v>54</v>
      </c>
      <c r="D561" t="s">
        <v>35</v>
      </c>
      <c r="E561" t="s">
        <v>26</v>
      </c>
      <c r="F561" t="s">
        <v>27</v>
      </c>
      <c r="G561" t="s">
        <v>2</v>
      </c>
      <c r="H561">
        <v>1</v>
      </c>
      <c r="I561" s="3">
        <v>699</v>
      </c>
      <c r="J561" s="4">
        <v>0.2</v>
      </c>
      <c r="K561" s="5">
        <v>559.20000000000005</v>
      </c>
      <c r="L561" t="s">
        <v>23</v>
      </c>
      <c r="M561">
        <v>4</v>
      </c>
    </row>
    <row r="562" spans="1:13">
      <c r="A562" t="s">
        <v>612</v>
      </c>
      <c r="B562" s="1">
        <v>45996</v>
      </c>
      <c r="C562" t="s">
        <v>31</v>
      </c>
      <c r="D562" t="s">
        <v>15</v>
      </c>
      <c r="E562" t="s">
        <v>16</v>
      </c>
      <c r="F562" t="s">
        <v>17</v>
      </c>
      <c r="G562" t="s">
        <v>2</v>
      </c>
      <c r="H562">
        <v>2</v>
      </c>
      <c r="I562" s="3">
        <v>19</v>
      </c>
      <c r="J562" s="4">
        <v>0.1</v>
      </c>
      <c r="K562" s="5">
        <v>34.200000000000003</v>
      </c>
      <c r="L562" t="s">
        <v>18</v>
      </c>
      <c r="M562">
        <v>5</v>
      </c>
    </row>
    <row r="563" spans="1:13">
      <c r="A563" t="s">
        <v>613</v>
      </c>
      <c r="B563" s="1">
        <v>45996</v>
      </c>
      <c r="C563" t="s">
        <v>14</v>
      </c>
      <c r="D563" t="s">
        <v>15</v>
      </c>
      <c r="E563" t="s">
        <v>62</v>
      </c>
      <c r="F563" t="s">
        <v>63</v>
      </c>
      <c r="G563" t="s">
        <v>2</v>
      </c>
      <c r="H563">
        <v>1</v>
      </c>
      <c r="I563" s="3">
        <v>2490</v>
      </c>
      <c r="J563" s="4">
        <v>0</v>
      </c>
      <c r="K563" s="5">
        <v>2490</v>
      </c>
      <c r="L563" t="s">
        <v>23</v>
      </c>
      <c r="M563">
        <v>4</v>
      </c>
    </row>
    <row r="564" spans="1:13">
      <c r="A564" t="s">
        <v>614</v>
      </c>
      <c r="B564" s="1">
        <v>45997</v>
      </c>
      <c r="C564" t="s">
        <v>57</v>
      </c>
      <c r="D564" t="s">
        <v>15</v>
      </c>
      <c r="E564" t="s">
        <v>16</v>
      </c>
      <c r="F564" t="s">
        <v>46</v>
      </c>
      <c r="G564" t="s">
        <v>2</v>
      </c>
      <c r="H564">
        <v>1</v>
      </c>
      <c r="I564" s="3">
        <v>29</v>
      </c>
      <c r="J564" s="4">
        <v>0</v>
      </c>
      <c r="K564" s="5">
        <v>29</v>
      </c>
      <c r="L564" t="s">
        <v>23</v>
      </c>
      <c r="M564">
        <v>4</v>
      </c>
    </row>
    <row r="565" spans="1:13">
      <c r="A565" t="s">
        <v>615</v>
      </c>
      <c r="B565" s="1">
        <v>45997</v>
      </c>
      <c r="C565" t="s">
        <v>54</v>
      </c>
      <c r="D565" t="s">
        <v>35</v>
      </c>
      <c r="E565" t="s">
        <v>20</v>
      </c>
      <c r="F565" t="s">
        <v>42</v>
      </c>
      <c r="G565" t="s">
        <v>2</v>
      </c>
      <c r="H565">
        <v>5</v>
      </c>
      <c r="I565" s="3">
        <v>59</v>
      </c>
      <c r="J565" s="4">
        <v>0.15</v>
      </c>
      <c r="K565" s="5">
        <v>250.75</v>
      </c>
      <c r="L565" t="s">
        <v>18</v>
      </c>
      <c r="M565">
        <v>5</v>
      </c>
    </row>
    <row r="566" spans="1:13">
      <c r="A566" t="s">
        <v>616</v>
      </c>
      <c r="B566" s="1">
        <v>45998</v>
      </c>
      <c r="C566" t="s">
        <v>57</v>
      </c>
      <c r="D566" t="s">
        <v>15</v>
      </c>
      <c r="E566" t="s">
        <v>20</v>
      </c>
      <c r="F566" t="s">
        <v>42</v>
      </c>
      <c r="G566" t="s">
        <v>37</v>
      </c>
      <c r="H566">
        <v>3</v>
      </c>
      <c r="I566" s="3">
        <v>59</v>
      </c>
      <c r="J566" s="4">
        <v>0.1</v>
      </c>
      <c r="K566" s="5">
        <v>159.30000000000001</v>
      </c>
      <c r="L566" t="s">
        <v>38</v>
      </c>
      <c r="M566">
        <v>3</v>
      </c>
    </row>
    <row r="567" spans="1:13">
      <c r="A567" t="s">
        <v>617</v>
      </c>
      <c r="B567" s="1">
        <v>45998</v>
      </c>
      <c r="C567" t="s">
        <v>31</v>
      </c>
      <c r="D567" t="s">
        <v>15</v>
      </c>
      <c r="E567" t="s">
        <v>20</v>
      </c>
      <c r="F567" t="s">
        <v>55</v>
      </c>
      <c r="G567" t="s">
        <v>22</v>
      </c>
      <c r="H567">
        <v>1</v>
      </c>
      <c r="I567" s="3">
        <v>35</v>
      </c>
      <c r="J567" s="4">
        <v>0</v>
      </c>
      <c r="K567" s="5">
        <v>35</v>
      </c>
      <c r="L567" t="s">
        <v>23</v>
      </c>
      <c r="M567">
        <v>4</v>
      </c>
    </row>
    <row r="568" spans="1:13">
      <c r="A568" t="s">
        <v>618</v>
      </c>
      <c r="B568" s="1">
        <v>45998</v>
      </c>
      <c r="C568" t="s">
        <v>40</v>
      </c>
      <c r="D568" t="s">
        <v>41</v>
      </c>
      <c r="E568" t="s">
        <v>48</v>
      </c>
      <c r="F568" t="s">
        <v>79</v>
      </c>
      <c r="G568" t="s">
        <v>2</v>
      </c>
      <c r="H568">
        <v>2</v>
      </c>
      <c r="I568" s="3">
        <v>1790</v>
      </c>
      <c r="J568" s="4">
        <v>0.15</v>
      </c>
      <c r="K568" s="5">
        <v>3043</v>
      </c>
      <c r="L568" t="s">
        <v>23</v>
      </c>
      <c r="M568">
        <v>5</v>
      </c>
    </row>
    <row r="569" spans="1:13">
      <c r="A569" t="s">
        <v>619</v>
      </c>
      <c r="B569" s="1">
        <v>45999</v>
      </c>
      <c r="C569" t="s">
        <v>44</v>
      </c>
      <c r="D569" t="s">
        <v>45</v>
      </c>
      <c r="E569" t="s">
        <v>62</v>
      </c>
      <c r="F569" t="s">
        <v>77</v>
      </c>
      <c r="G569" t="s">
        <v>22</v>
      </c>
      <c r="H569">
        <v>1</v>
      </c>
      <c r="I569" s="3">
        <v>899</v>
      </c>
      <c r="J569" s="4">
        <v>0</v>
      </c>
      <c r="K569" s="5">
        <v>899</v>
      </c>
      <c r="L569" t="s">
        <v>51</v>
      </c>
      <c r="M569">
        <v>4</v>
      </c>
    </row>
    <row r="570" spans="1:13">
      <c r="A570" t="s">
        <v>620</v>
      </c>
      <c r="B570" s="1">
        <v>45999</v>
      </c>
      <c r="C570" t="s">
        <v>44</v>
      </c>
      <c r="D570" t="s">
        <v>45</v>
      </c>
      <c r="E570" t="s">
        <v>62</v>
      </c>
      <c r="F570" t="s">
        <v>100</v>
      </c>
      <c r="G570" t="s">
        <v>22</v>
      </c>
      <c r="H570">
        <v>1</v>
      </c>
      <c r="I570" s="3">
        <v>1190</v>
      </c>
      <c r="J570" s="4">
        <v>0</v>
      </c>
      <c r="K570" s="5">
        <v>1190</v>
      </c>
      <c r="L570" t="s">
        <v>23</v>
      </c>
      <c r="M570">
        <v>5</v>
      </c>
    </row>
    <row r="571" spans="1:13">
      <c r="A571" t="s">
        <v>621</v>
      </c>
      <c r="B571" s="1">
        <v>46000</v>
      </c>
      <c r="C571" t="s">
        <v>54</v>
      </c>
      <c r="D571" t="s">
        <v>35</v>
      </c>
      <c r="E571" t="s">
        <v>48</v>
      </c>
      <c r="F571" t="s">
        <v>49</v>
      </c>
      <c r="G571" t="s">
        <v>37</v>
      </c>
      <c r="H571">
        <v>1</v>
      </c>
      <c r="I571" s="3">
        <v>3990</v>
      </c>
      <c r="J571" s="4">
        <v>0</v>
      </c>
      <c r="K571" s="5">
        <v>3990</v>
      </c>
      <c r="L571" t="s">
        <v>23</v>
      </c>
      <c r="M571">
        <v>4</v>
      </c>
    </row>
    <row r="572" spans="1:13">
      <c r="A572" t="s">
        <v>622</v>
      </c>
      <c r="B572" s="1">
        <v>46000</v>
      </c>
      <c r="C572" t="s">
        <v>34</v>
      </c>
      <c r="D572" t="s">
        <v>35</v>
      </c>
      <c r="E572" t="s">
        <v>20</v>
      </c>
      <c r="F572" t="s">
        <v>75</v>
      </c>
      <c r="G572" t="s">
        <v>2</v>
      </c>
      <c r="H572">
        <v>2</v>
      </c>
      <c r="I572" s="3">
        <v>45</v>
      </c>
      <c r="J572" s="4">
        <v>0</v>
      </c>
      <c r="K572" s="5">
        <v>90</v>
      </c>
      <c r="L572" t="s">
        <v>51</v>
      </c>
      <c r="M572">
        <v>5</v>
      </c>
    </row>
    <row r="573" spans="1:13">
      <c r="A573" t="s">
        <v>623</v>
      </c>
      <c r="B573" s="1">
        <v>46001</v>
      </c>
      <c r="C573" t="s">
        <v>34</v>
      </c>
      <c r="D573" t="s">
        <v>35</v>
      </c>
      <c r="E573" t="s">
        <v>62</v>
      </c>
      <c r="F573" t="s">
        <v>63</v>
      </c>
      <c r="G573" t="s">
        <v>2</v>
      </c>
      <c r="H573">
        <v>1</v>
      </c>
      <c r="I573" s="3">
        <v>2490</v>
      </c>
      <c r="J573" s="4">
        <v>0.15</v>
      </c>
      <c r="K573" s="5">
        <v>2116.5</v>
      </c>
      <c r="L573" t="s">
        <v>23</v>
      </c>
      <c r="M573">
        <v>2</v>
      </c>
    </row>
    <row r="574" spans="1:13">
      <c r="A574" t="s">
        <v>624</v>
      </c>
      <c r="B574" s="1">
        <v>46001</v>
      </c>
      <c r="C574" t="s">
        <v>34</v>
      </c>
      <c r="D574" t="s">
        <v>35</v>
      </c>
      <c r="E574" t="s">
        <v>16</v>
      </c>
      <c r="F574" t="s">
        <v>17</v>
      </c>
      <c r="G574" t="s">
        <v>2</v>
      </c>
      <c r="H574">
        <v>1</v>
      </c>
      <c r="I574" s="3">
        <v>19</v>
      </c>
      <c r="J574" s="4">
        <v>0.1</v>
      </c>
      <c r="K574" s="5">
        <v>17.100000000000001</v>
      </c>
      <c r="L574" t="s">
        <v>23</v>
      </c>
      <c r="M574">
        <v>4</v>
      </c>
    </row>
    <row r="575" spans="1:13">
      <c r="A575" t="s">
        <v>625</v>
      </c>
      <c r="B575" s="1">
        <v>46002</v>
      </c>
      <c r="C575" t="s">
        <v>14</v>
      </c>
      <c r="D575" t="s">
        <v>15</v>
      </c>
      <c r="E575" t="s">
        <v>20</v>
      </c>
      <c r="F575" t="s">
        <v>42</v>
      </c>
      <c r="G575" t="s">
        <v>2</v>
      </c>
      <c r="H575">
        <v>1</v>
      </c>
      <c r="I575" s="3">
        <v>59</v>
      </c>
      <c r="J575" s="4">
        <v>0</v>
      </c>
      <c r="K575" s="5">
        <v>59</v>
      </c>
      <c r="L575" t="s">
        <v>18</v>
      </c>
      <c r="M575">
        <v>4</v>
      </c>
    </row>
    <row r="576" spans="1:13">
      <c r="A576" t="s">
        <v>626</v>
      </c>
      <c r="B576" s="1">
        <v>46002</v>
      </c>
      <c r="C576" t="s">
        <v>44</v>
      </c>
      <c r="D576" t="s">
        <v>45</v>
      </c>
      <c r="E576" t="s">
        <v>16</v>
      </c>
      <c r="F576" t="s">
        <v>17</v>
      </c>
      <c r="G576" t="s">
        <v>2</v>
      </c>
      <c r="H576">
        <v>1</v>
      </c>
      <c r="I576" s="3">
        <v>19</v>
      </c>
      <c r="J576" s="4">
        <v>0.05</v>
      </c>
      <c r="K576" s="5">
        <v>18.05</v>
      </c>
      <c r="L576" t="s">
        <v>18</v>
      </c>
      <c r="M576">
        <v>4</v>
      </c>
    </row>
    <row r="577" spans="1:13">
      <c r="A577" t="s">
        <v>627</v>
      </c>
      <c r="B577" s="1">
        <v>46002</v>
      </c>
      <c r="C577" t="s">
        <v>57</v>
      </c>
      <c r="D577" t="s">
        <v>15</v>
      </c>
      <c r="E577" t="s">
        <v>16</v>
      </c>
      <c r="F577" t="s">
        <v>17</v>
      </c>
      <c r="G577" t="s">
        <v>2</v>
      </c>
      <c r="H577">
        <v>1</v>
      </c>
      <c r="I577" s="3">
        <v>19</v>
      </c>
      <c r="J577" s="4">
        <v>0</v>
      </c>
      <c r="K577" s="5">
        <v>19</v>
      </c>
      <c r="L577" t="s">
        <v>51</v>
      </c>
    </row>
    <row r="578" spans="1:13">
      <c r="A578" t="s">
        <v>628</v>
      </c>
      <c r="B578" s="1">
        <v>46005</v>
      </c>
      <c r="C578" t="s">
        <v>25</v>
      </c>
      <c r="D578" t="s">
        <v>15</v>
      </c>
      <c r="E578" t="s">
        <v>48</v>
      </c>
      <c r="F578" t="s">
        <v>79</v>
      </c>
      <c r="G578" t="s">
        <v>22</v>
      </c>
      <c r="H578">
        <v>1</v>
      </c>
      <c r="I578" s="3">
        <v>1790</v>
      </c>
      <c r="J578" s="4">
        <v>0</v>
      </c>
      <c r="K578" s="5">
        <v>1790</v>
      </c>
      <c r="L578" t="s">
        <v>18</v>
      </c>
    </row>
    <row r="579" spans="1:13">
      <c r="A579" t="s">
        <v>629</v>
      </c>
      <c r="B579" s="1">
        <v>46005</v>
      </c>
      <c r="C579" t="s">
        <v>44</v>
      </c>
      <c r="D579" t="s">
        <v>45</v>
      </c>
      <c r="E579" t="s">
        <v>26</v>
      </c>
      <c r="F579" t="s">
        <v>60</v>
      </c>
      <c r="G579" t="s">
        <v>2</v>
      </c>
      <c r="H579">
        <v>1</v>
      </c>
      <c r="I579" s="3">
        <v>1890</v>
      </c>
      <c r="J579" s="4">
        <v>0.1</v>
      </c>
      <c r="K579" s="5">
        <v>1701</v>
      </c>
      <c r="L579" t="s">
        <v>18</v>
      </c>
      <c r="M579">
        <v>4</v>
      </c>
    </row>
    <row r="580" spans="1:13">
      <c r="A580" t="s">
        <v>630</v>
      </c>
      <c r="B580" s="1">
        <v>46005</v>
      </c>
      <c r="C580" t="s">
        <v>40</v>
      </c>
      <c r="D580" t="s">
        <v>41</v>
      </c>
      <c r="E580" t="s">
        <v>26</v>
      </c>
      <c r="F580" t="s">
        <v>29</v>
      </c>
      <c r="G580" t="s">
        <v>22</v>
      </c>
      <c r="H580">
        <v>1</v>
      </c>
      <c r="I580" s="3">
        <v>549</v>
      </c>
      <c r="J580" s="4">
        <v>0.05</v>
      </c>
      <c r="K580" s="5">
        <v>521.54999999999995</v>
      </c>
      <c r="L580" t="s">
        <v>18</v>
      </c>
      <c r="M580">
        <v>3</v>
      </c>
    </row>
    <row r="581" spans="1:13">
      <c r="A581" t="s">
        <v>631</v>
      </c>
      <c r="B581" s="1">
        <v>46006</v>
      </c>
      <c r="C581" t="s">
        <v>25</v>
      </c>
      <c r="D581" t="s">
        <v>15</v>
      </c>
      <c r="E581" t="s">
        <v>26</v>
      </c>
      <c r="F581" t="s">
        <v>29</v>
      </c>
      <c r="G581" t="s">
        <v>2</v>
      </c>
      <c r="H581">
        <v>1</v>
      </c>
      <c r="I581" s="3">
        <v>549</v>
      </c>
      <c r="J581" s="4">
        <v>0</v>
      </c>
      <c r="K581" s="5">
        <v>549</v>
      </c>
      <c r="L581" t="s">
        <v>51</v>
      </c>
      <c r="M581">
        <v>5</v>
      </c>
    </row>
    <row r="582" spans="1:13">
      <c r="A582" t="s">
        <v>632</v>
      </c>
      <c r="B582" s="1">
        <v>46007</v>
      </c>
      <c r="C582" t="s">
        <v>14</v>
      </c>
      <c r="D582" t="s">
        <v>15</v>
      </c>
      <c r="E582" t="s">
        <v>48</v>
      </c>
      <c r="F582" t="s">
        <v>65</v>
      </c>
      <c r="G582" t="s">
        <v>37</v>
      </c>
      <c r="H582">
        <v>1</v>
      </c>
      <c r="I582" s="3">
        <v>2590</v>
      </c>
      <c r="J582" s="4">
        <v>0</v>
      </c>
      <c r="K582" s="5">
        <v>2590</v>
      </c>
      <c r="L582" t="s">
        <v>51</v>
      </c>
      <c r="M582">
        <v>4</v>
      </c>
    </row>
    <row r="583" spans="1:13">
      <c r="A583" t="s">
        <v>633</v>
      </c>
      <c r="B583" s="1">
        <v>46009</v>
      </c>
      <c r="C583" t="s">
        <v>14</v>
      </c>
      <c r="D583" t="s">
        <v>15</v>
      </c>
      <c r="E583" t="s">
        <v>20</v>
      </c>
      <c r="F583" t="s">
        <v>21</v>
      </c>
      <c r="G583" t="s">
        <v>37</v>
      </c>
      <c r="H583">
        <v>2</v>
      </c>
      <c r="I583" s="3">
        <v>69</v>
      </c>
      <c r="J583" s="4">
        <v>0</v>
      </c>
      <c r="K583" s="5">
        <v>138</v>
      </c>
      <c r="L583" t="s">
        <v>38</v>
      </c>
      <c r="M583">
        <v>4</v>
      </c>
    </row>
    <row r="584" spans="1:13">
      <c r="A584" t="s">
        <v>634</v>
      </c>
      <c r="B584" s="1">
        <v>46009</v>
      </c>
      <c r="C584" t="s">
        <v>14</v>
      </c>
      <c r="D584" t="s">
        <v>15</v>
      </c>
      <c r="E584" t="s">
        <v>26</v>
      </c>
      <c r="F584" t="s">
        <v>27</v>
      </c>
      <c r="G584" t="s">
        <v>22</v>
      </c>
      <c r="H584">
        <v>1</v>
      </c>
      <c r="I584" s="3">
        <v>699</v>
      </c>
      <c r="J584" s="4">
        <v>0.1</v>
      </c>
      <c r="K584" s="5">
        <v>629.1</v>
      </c>
      <c r="L584" t="s">
        <v>23</v>
      </c>
      <c r="M584">
        <v>4</v>
      </c>
    </row>
    <row r="585" spans="1:13">
      <c r="A585" t="s">
        <v>635</v>
      </c>
      <c r="B585" s="1">
        <v>46009</v>
      </c>
      <c r="C585" t="s">
        <v>40</v>
      </c>
      <c r="D585" t="s">
        <v>41</v>
      </c>
      <c r="E585" t="s">
        <v>20</v>
      </c>
      <c r="F585" t="s">
        <v>21</v>
      </c>
      <c r="G585" t="s">
        <v>22</v>
      </c>
      <c r="H585">
        <v>1</v>
      </c>
      <c r="I585" s="3">
        <v>69</v>
      </c>
      <c r="J585" s="4">
        <v>0.15</v>
      </c>
      <c r="K585" s="5">
        <v>58.65</v>
      </c>
      <c r="L585" t="s">
        <v>23</v>
      </c>
      <c r="M585">
        <v>4</v>
      </c>
    </row>
    <row r="586" spans="1:13">
      <c r="A586" t="s">
        <v>636</v>
      </c>
      <c r="B586" s="1">
        <v>46009</v>
      </c>
      <c r="C586" t="s">
        <v>14</v>
      </c>
      <c r="D586" t="s">
        <v>15</v>
      </c>
      <c r="E586" t="s">
        <v>26</v>
      </c>
      <c r="F586" t="s">
        <v>29</v>
      </c>
      <c r="G586" t="s">
        <v>2</v>
      </c>
      <c r="H586">
        <v>1</v>
      </c>
      <c r="I586" s="3">
        <v>549</v>
      </c>
      <c r="J586" s="4">
        <v>0.05</v>
      </c>
      <c r="K586" s="5">
        <v>521.54999999999995</v>
      </c>
      <c r="L586" t="s">
        <v>23</v>
      </c>
      <c r="M586">
        <v>4</v>
      </c>
    </row>
    <row r="587" spans="1:13">
      <c r="A587" t="s">
        <v>637</v>
      </c>
      <c r="B587" s="1">
        <v>46011</v>
      </c>
      <c r="C587" t="s">
        <v>25</v>
      </c>
      <c r="D587" t="s">
        <v>15</v>
      </c>
      <c r="E587" t="s">
        <v>20</v>
      </c>
      <c r="F587" t="s">
        <v>21</v>
      </c>
      <c r="G587" t="s">
        <v>2</v>
      </c>
      <c r="H587">
        <v>2</v>
      </c>
      <c r="I587" s="3">
        <v>69</v>
      </c>
      <c r="J587" s="4">
        <v>0</v>
      </c>
      <c r="K587" s="5">
        <v>138</v>
      </c>
      <c r="L587" t="s">
        <v>23</v>
      </c>
      <c r="M587">
        <v>4</v>
      </c>
    </row>
    <row r="588" spans="1:13">
      <c r="A588" t="s">
        <v>638</v>
      </c>
      <c r="B588" s="1">
        <v>46011</v>
      </c>
      <c r="C588" t="s">
        <v>34</v>
      </c>
      <c r="D588" t="s">
        <v>35</v>
      </c>
      <c r="E588" t="s">
        <v>20</v>
      </c>
      <c r="F588" t="s">
        <v>55</v>
      </c>
      <c r="G588" t="s">
        <v>2</v>
      </c>
      <c r="H588">
        <v>1</v>
      </c>
      <c r="I588" s="3">
        <v>35</v>
      </c>
      <c r="J588" s="4">
        <v>0</v>
      </c>
      <c r="K588" s="5">
        <v>35</v>
      </c>
      <c r="L588" t="s">
        <v>38</v>
      </c>
      <c r="M588">
        <v>5</v>
      </c>
    </row>
    <row r="589" spans="1:13">
      <c r="A589" t="s">
        <v>639</v>
      </c>
      <c r="B589" s="1">
        <v>46011</v>
      </c>
      <c r="C589" t="s">
        <v>25</v>
      </c>
      <c r="D589" t="s">
        <v>15</v>
      </c>
      <c r="E589" t="s">
        <v>48</v>
      </c>
      <c r="F589" t="s">
        <v>49</v>
      </c>
      <c r="G589" t="s">
        <v>2</v>
      </c>
      <c r="H589">
        <v>1</v>
      </c>
      <c r="I589" s="3">
        <v>3990</v>
      </c>
      <c r="J589" s="4">
        <v>0</v>
      </c>
      <c r="K589" s="5">
        <v>3990</v>
      </c>
      <c r="L589" t="s">
        <v>23</v>
      </c>
      <c r="M589">
        <v>5</v>
      </c>
    </row>
    <row r="590" spans="1:13">
      <c r="A590" t="s">
        <v>640</v>
      </c>
      <c r="B590" s="1">
        <v>46011</v>
      </c>
      <c r="C590" t="s">
        <v>57</v>
      </c>
      <c r="D590" t="s">
        <v>15</v>
      </c>
      <c r="E590" t="s">
        <v>20</v>
      </c>
      <c r="F590" t="s">
        <v>55</v>
      </c>
      <c r="G590" t="s">
        <v>37</v>
      </c>
      <c r="H590">
        <v>1</v>
      </c>
      <c r="I590" s="3">
        <v>35</v>
      </c>
      <c r="J590" s="4">
        <v>0</v>
      </c>
      <c r="K590" s="5">
        <v>35</v>
      </c>
      <c r="L590" t="s">
        <v>38</v>
      </c>
      <c r="M590">
        <v>3</v>
      </c>
    </row>
    <row r="591" spans="1:13">
      <c r="A591" t="s">
        <v>641</v>
      </c>
      <c r="B591" s="1">
        <v>46012</v>
      </c>
      <c r="C591" t="s">
        <v>34</v>
      </c>
      <c r="D591" t="s">
        <v>35</v>
      </c>
      <c r="E591" t="s">
        <v>20</v>
      </c>
      <c r="F591" t="s">
        <v>21</v>
      </c>
      <c r="G591" t="s">
        <v>22</v>
      </c>
      <c r="H591">
        <v>3</v>
      </c>
      <c r="I591" s="3">
        <v>69</v>
      </c>
      <c r="J591" s="4">
        <v>0</v>
      </c>
      <c r="K591" s="5">
        <v>207</v>
      </c>
      <c r="L591" t="s">
        <v>38</v>
      </c>
    </row>
    <row r="592" spans="1:13">
      <c r="A592" t="s">
        <v>642</v>
      </c>
      <c r="B592" s="1">
        <v>46012</v>
      </c>
      <c r="C592" t="s">
        <v>54</v>
      </c>
      <c r="D592" t="s">
        <v>35</v>
      </c>
      <c r="E592" t="s">
        <v>48</v>
      </c>
      <c r="F592" t="s">
        <v>79</v>
      </c>
      <c r="G592" t="s">
        <v>22</v>
      </c>
      <c r="H592">
        <v>1</v>
      </c>
      <c r="I592" s="3">
        <v>1790</v>
      </c>
      <c r="J592" s="4">
        <v>0.15</v>
      </c>
      <c r="K592" s="5">
        <v>1521.5</v>
      </c>
      <c r="L592" t="s">
        <v>23</v>
      </c>
      <c r="M592">
        <v>4</v>
      </c>
    </row>
    <row r="593" spans="1:13">
      <c r="A593" t="s">
        <v>643</v>
      </c>
      <c r="B593" s="1">
        <v>46012</v>
      </c>
      <c r="C593" t="s">
        <v>40</v>
      </c>
      <c r="D593" t="s">
        <v>41</v>
      </c>
      <c r="E593" t="s">
        <v>48</v>
      </c>
      <c r="F593" t="s">
        <v>79</v>
      </c>
      <c r="G593" t="s">
        <v>2</v>
      </c>
      <c r="H593">
        <v>1</v>
      </c>
      <c r="I593" s="3">
        <v>1790</v>
      </c>
      <c r="J593" s="4">
        <v>0</v>
      </c>
      <c r="K593" s="5">
        <v>1790</v>
      </c>
      <c r="L593" t="s">
        <v>18</v>
      </c>
      <c r="M593">
        <v>4</v>
      </c>
    </row>
    <row r="594" spans="1:13">
      <c r="A594" t="s">
        <v>644</v>
      </c>
      <c r="B594" s="1">
        <v>46014</v>
      </c>
      <c r="C594" t="s">
        <v>57</v>
      </c>
      <c r="D594" t="s">
        <v>15</v>
      </c>
      <c r="E594" t="s">
        <v>26</v>
      </c>
      <c r="F594" t="s">
        <v>60</v>
      </c>
      <c r="G594" t="s">
        <v>2</v>
      </c>
      <c r="H594">
        <v>1</v>
      </c>
      <c r="I594" s="3">
        <v>1890</v>
      </c>
      <c r="J594" s="4">
        <v>0</v>
      </c>
      <c r="K594" s="5">
        <v>1890</v>
      </c>
      <c r="L594" t="s">
        <v>51</v>
      </c>
      <c r="M594">
        <v>5</v>
      </c>
    </row>
    <row r="595" spans="1:13">
      <c r="A595" t="s">
        <v>645</v>
      </c>
      <c r="B595" s="1">
        <v>46014</v>
      </c>
      <c r="C595" t="s">
        <v>34</v>
      </c>
      <c r="D595" t="s">
        <v>35</v>
      </c>
      <c r="E595" t="s">
        <v>16</v>
      </c>
      <c r="F595" t="s">
        <v>32</v>
      </c>
      <c r="G595" t="s">
        <v>2</v>
      </c>
      <c r="H595">
        <v>1</v>
      </c>
      <c r="I595" s="3">
        <v>89</v>
      </c>
      <c r="J595" s="4">
        <v>0.15</v>
      </c>
      <c r="K595" s="5">
        <v>75.650000000000006</v>
      </c>
      <c r="L595" t="s">
        <v>23</v>
      </c>
      <c r="M595">
        <v>2</v>
      </c>
    </row>
    <row r="596" spans="1:13">
      <c r="A596" t="s">
        <v>646</v>
      </c>
      <c r="B596" s="1">
        <v>46015</v>
      </c>
      <c r="C596" t="s">
        <v>25</v>
      </c>
      <c r="D596" t="s">
        <v>15</v>
      </c>
      <c r="E596" t="s">
        <v>16</v>
      </c>
      <c r="F596" t="s">
        <v>17</v>
      </c>
      <c r="G596" t="s">
        <v>2</v>
      </c>
      <c r="H596">
        <v>1</v>
      </c>
      <c r="I596" s="3">
        <v>19</v>
      </c>
      <c r="J596" s="4">
        <v>0</v>
      </c>
      <c r="K596" s="5">
        <v>19</v>
      </c>
      <c r="L596" t="s">
        <v>23</v>
      </c>
    </row>
    <row r="597" spans="1:13">
      <c r="A597" t="s">
        <v>647</v>
      </c>
      <c r="B597" s="1">
        <v>46015</v>
      </c>
      <c r="C597" t="s">
        <v>34</v>
      </c>
      <c r="D597" t="s">
        <v>35</v>
      </c>
      <c r="E597" t="s">
        <v>16</v>
      </c>
      <c r="F597" t="s">
        <v>32</v>
      </c>
      <c r="G597" t="s">
        <v>2</v>
      </c>
      <c r="H597">
        <v>1</v>
      </c>
      <c r="I597" s="3">
        <v>89</v>
      </c>
      <c r="J597" s="4">
        <v>0.15</v>
      </c>
      <c r="K597" s="5">
        <v>75.650000000000006</v>
      </c>
      <c r="L597" t="s">
        <v>38</v>
      </c>
      <c r="M597">
        <v>5</v>
      </c>
    </row>
    <row r="598" spans="1:13">
      <c r="A598" t="s">
        <v>648</v>
      </c>
      <c r="B598" s="1">
        <v>46017</v>
      </c>
      <c r="C598" t="s">
        <v>44</v>
      </c>
      <c r="D598" t="s">
        <v>45</v>
      </c>
      <c r="E598" t="s">
        <v>20</v>
      </c>
      <c r="F598" t="s">
        <v>21</v>
      </c>
      <c r="G598" t="s">
        <v>22</v>
      </c>
      <c r="H598">
        <v>3</v>
      </c>
      <c r="I598" s="3">
        <v>69</v>
      </c>
      <c r="J598" s="4">
        <v>0</v>
      </c>
      <c r="K598" s="5">
        <v>207</v>
      </c>
      <c r="L598" t="s">
        <v>18</v>
      </c>
      <c r="M598">
        <v>4</v>
      </c>
    </row>
    <row r="599" spans="1:13">
      <c r="A599" t="s">
        <v>649</v>
      </c>
      <c r="B599" s="1">
        <v>46017</v>
      </c>
      <c r="C599" t="s">
        <v>44</v>
      </c>
      <c r="D599" t="s">
        <v>45</v>
      </c>
      <c r="E599" t="s">
        <v>26</v>
      </c>
      <c r="F599" t="s">
        <v>60</v>
      </c>
      <c r="G599" t="s">
        <v>22</v>
      </c>
      <c r="H599">
        <v>1</v>
      </c>
      <c r="I599" s="3">
        <v>1890</v>
      </c>
      <c r="J599" s="4">
        <v>0</v>
      </c>
      <c r="K599" s="5">
        <v>1890</v>
      </c>
      <c r="L599" t="s">
        <v>51</v>
      </c>
      <c r="M599">
        <v>5</v>
      </c>
    </row>
    <row r="600" spans="1:13">
      <c r="A600" t="s">
        <v>650</v>
      </c>
      <c r="B600" s="1">
        <v>46017</v>
      </c>
      <c r="C600" t="s">
        <v>57</v>
      </c>
      <c r="D600" t="s">
        <v>15</v>
      </c>
      <c r="E600" t="s">
        <v>16</v>
      </c>
      <c r="F600" t="s">
        <v>17</v>
      </c>
      <c r="G600" t="s">
        <v>2</v>
      </c>
      <c r="H600">
        <v>2</v>
      </c>
      <c r="I600" s="3">
        <v>19</v>
      </c>
      <c r="J600" s="4">
        <v>0</v>
      </c>
      <c r="K600" s="5">
        <v>38</v>
      </c>
      <c r="L600" t="s">
        <v>51</v>
      </c>
      <c r="M600">
        <v>5</v>
      </c>
    </row>
    <row r="601" spans="1:13">
      <c r="A601" t="s">
        <v>651</v>
      </c>
      <c r="B601" s="1">
        <v>46019</v>
      </c>
      <c r="C601" t="s">
        <v>34</v>
      </c>
      <c r="D601" t="s">
        <v>35</v>
      </c>
      <c r="E601" t="s">
        <v>48</v>
      </c>
      <c r="F601" t="s">
        <v>49</v>
      </c>
      <c r="G601" t="s">
        <v>2</v>
      </c>
      <c r="H601">
        <v>100</v>
      </c>
      <c r="I601" s="3">
        <v>3990</v>
      </c>
      <c r="J601" s="4">
        <v>0.05</v>
      </c>
      <c r="K601" s="5">
        <v>379050</v>
      </c>
      <c r="L601" t="s">
        <v>38</v>
      </c>
      <c r="M601">
        <v>4</v>
      </c>
    </row>
    <row r="602" spans="1:13">
      <c r="A602" t="s">
        <v>652</v>
      </c>
      <c r="B602" s="1">
        <v>46019</v>
      </c>
      <c r="C602" t="s">
        <v>57</v>
      </c>
      <c r="D602" t="s">
        <v>15</v>
      </c>
      <c r="E602" t="s">
        <v>48</v>
      </c>
      <c r="F602" t="s">
        <v>79</v>
      </c>
      <c r="G602" t="s">
        <v>2</v>
      </c>
      <c r="H602">
        <v>2</v>
      </c>
      <c r="I602" s="3">
        <v>1790</v>
      </c>
      <c r="J602" s="4">
        <v>0</v>
      </c>
      <c r="K602" s="5">
        <v>3580</v>
      </c>
      <c r="L602" t="s">
        <v>23</v>
      </c>
      <c r="M602">
        <v>5</v>
      </c>
    </row>
    <row r="603" spans="1:13">
      <c r="A603" t="s">
        <v>653</v>
      </c>
      <c r="B603" s="1">
        <v>46020</v>
      </c>
      <c r="C603" t="s">
        <v>31</v>
      </c>
      <c r="D603" t="s">
        <v>15</v>
      </c>
      <c r="E603" t="s">
        <v>20</v>
      </c>
      <c r="F603" t="s">
        <v>42</v>
      </c>
      <c r="G603" t="s">
        <v>22</v>
      </c>
      <c r="H603">
        <v>1</v>
      </c>
      <c r="I603" s="3">
        <v>59</v>
      </c>
      <c r="J603" s="4">
        <v>0.2</v>
      </c>
      <c r="K603" s="5">
        <v>47.2</v>
      </c>
      <c r="L603" t="s">
        <v>23</v>
      </c>
    </row>
    <row r="604" spans="1:13">
      <c r="A604" t="s">
        <v>654</v>
      </c>
      <c r="B604" s="1">
        <v>46020</v>
      </c>
      <c r="C604" t="s">
        <v>14</v>
      </c>
      <c r="D604" t="s">
        <v>15</v>
      </c>
      <c r="E604" t="s">
        <v>20</v>
      </c>
      <c r="F604" t="s">
        <v>75</v>
      </c>
      <c r="G604" t="s">
        <v>2</v>
      </c>
      <c r="H604">
        <v>3</v>
      </c>
      <c r="I604" s="3">
        <v>45</v>
      </c>
      <c r="J604" s="4">
        <v>0</v>
      </c>
      <c r="K604" s="5">
        <v>135</v>
      </c>
      <c r="L604" t="s">
        <v>23</v>
      </c>
      <c r="M604">
        <v>5</v>
      </c>
    </row>
    <row r="605" spans="1:13">
      <c r="A605" t="s">
        <v>655</v>
      </c>
      <c r="B605" s="1">
        <v>46021</v>
      </c>
      <c r="C605" t="s">
        <v>14</v>
      </c>
      <c r="D605" t="s">
        <v>15</v>
      </c>
      <c r="E605" t="s">
        <v>62</v>
      </c>
      <c r="F605" t="s">
        <v>77</v>
      </c>
      <c r="G605" t="s">
        <v>22</v>
      </c>
      <c r="H605">
        <v>1</v>
      </c>
      <c r="I605" s="3">
        <v>899</v>
      </c>
      <c r="J605" s="4">
        <v>0</v>
      </c>
      <c r="K605" s="5">
        <v>899</v>
      </c>
      <c r="L605" t="s">
        <v>23</v>
      </c>
      <c r="M605">
        <v>5</v>
      </c>
    </row>
    <row r="606" spans="1:13">
      <c r="A606" t="s">
        <v>656</v>
      </c>
      <c r="B606" s="1">
        <v>46021</v>
      </c>
      <c r="C606" t="s">
        <v>57</v>
      </c>
      <c r="D606" t="s">
        <v>15</v>
      </c>
      <c r="E606" t="s">
        <v>16</v>
      </c>
      <c r="F606" t="s">
        <v>32</v>
      </c>
      <c r="G606" t="s">
        <v>2</v>
      </c>
      <c r="H606">
        <v>1</v>
      </c>
      <c r="I606" s="3">
        <v>89</v>
      </c>
      <c r="J606" s="4">
        <v>0</v>
      </c>
      <c r="K606" s="5">
        <v>89</v>
      </c>
      <c r="L606" t="s">
        <v>23</v>
      </c>
      <c r="M606">
        <v>2</v>
      </c>
    </row>
    <row r="607" spans="1:13">
      <c r="A607" t="s">
        <v>657</v>
      </c>
      <c r="B607" s="1">
        <v>46021</v>
      </c>
      <c r="C607" t="s">
        <v>44</v>
      </c>
      <c r="D607" t="s">
        <v>45</v>
      </c>
      <c r="E607" t="s">
        <v>16</v>
      </c>
      <c r="F607" t="s">
        <v>46</v>
      </c>
      <c r="G607" t="s">
        <v>2</v>
      </c>
      <c r="H607">
        <v>1</v>
      </c>
      <c r="I607" s="3">
        <v>29</v>
      </c>
      <c r="J607" s="4">
        <v>0.05</v>
      </c>
      <c r="K607" s="5">
        <v>27.55</v>
      </c>
      <c r="L607" t="s">
        <v>18</v>
      </c>
      <c r="M607">
        <v>3</v>
      </c>
    </row>
    <row r="608" spans="1:13">
      <c r="A608" t="s">
        <v>658</v>
      </c>
      <c r="B608" s="1">
        <v>46021</v>
      </c>
      <c r="C608" t="s">
        <v>44</v>
      </c>
      <c r="D608" t="s">
        <v>45</v>
      </c>
      <c r="E608" t="s">
        <v>48</v>
      </c>
      <c r="F608" t="s">
        <v>65</v>
      </c>
      <c r="G608" t="s">
        <v>2</v>
      </c>
      <c r="H608">
        <v>1</v>
      </c>
      <c r="I608" s="3">
        <v>2590</v>
      </c>
      <c r="J608" s="4">
        <v>0</v>
      </c>
      <c r="K608" s="5">
        <v>2590</v>
      </c>
      <c r="L608" t="s">
        <v>38</v>
      </c>
      <c r="M608">
        <v>3</v>
      </c>
    </row>
    <row r="609" spans="1:13">
      <c r="A609" t="s">
        <v>659</v>
      </c>
      <c r="B609" s="1">
        <v>46021</v>
      </c>
      <c r="C609" t="s">
        <v>44</v>
      </c>
      <c r="D609" t="s">
        <v>45</v>
      </c>
      <c r="E609" t="s">
        <v>20</v>
      </c>
      <c r="F609" t="s">
        <v>75</v>
      </c>
      <c r="G609" t="s">
        <v>22</v>
      </c>
      <c r="H609">
        <v>4</v>
      </c>
      <c r="I609" s="3">
        <v>45</v>
      </c>
      <c r="J609" s="4">
        <v>0</v>
      </c>
      <c r="K609" s="5">
        <v>180</v>
      </c>
      <c r="L609" t="s">
        <v>51</v>
      </c>
      <c r="M609">
        <v>5</v>
      </c>
    </row>
    <row r="610" spans="1:13">
      <c r="A610" t="s">
        <v>660</v>
      </c>
      <c r="B610" s="1">
        <v>46021</v>
      </c>
      <c r="C610" t="s">
        <v>44</v>
      </c>
      <c r="D610" t="s">
        <v>45</v>
      </c>
      <c r="E610" t="s">
        <v>48</v>
      </c>
      <c r="F610" t="s">
        <v>49</v>
      </c>
      <c r="G610" t="s">
        <v>22</v>
      </c>
      <c r="H610">
        <v>1</v>
      </c>
      <c r="I610" s="3">
        <v>3990</v>
      </c>
      <c r="J610" s="4">
        <v>0</v>
      </c>
      <c r="K610" s="5">
        <v>3990</v>
      </c>
      <c r="L610" t="s">
        <v>23</v>
      </c>
      <c r="M610">
        <v>5</v>
      </c>
    </row>
    <row r="611" spans="1:13">
      <c r="A611" t="s">
        <v>661</v>
      </c>
      <c r="B611" s="1">
        <v>46022</v>
      </c>
      <c r="C611" t="s">
        <v>25</v>
      </c>
      <c r="D611" t="s">
        <v>15</v>
      </c>
      <c r="E611" t="s">
        <v>26</v>
      </c>
      <c r="F611" t="s">
        <v>27</v>
      </c>
      <c r="G611" t="s">
        <v>2</v>
      </c>
      <c r="H611">
        <v>2</v>
      </c>
      <c r="I611" s="3">
        <v>699</v>
      </c>
      <c r="J611" s="4">
        <v>0</v>
      </c>
      <c r="K611" s="5">
        <v>1398</v>
      </c>
      <c r="L611" t="s">
        <v>38</v>
      </c>
      <c r="M611">
        <v>4</v>
      </c>
    </row>
    <row r="612" spans="1:13">
      <c r="A612" t="s">
        <v>662</v>
      </c>
      <c r="B612" s="1">
        <v>46022</v>
      </c>
      <c r="C612" t="s">
        <v>14</v>
      </c>
      <c r="D612" t="s">
        <v>15</v>
      </c>
      <c r="E612" t="s">
        <v>62</v>
      </c>
      <c r="F612" t="s">
        <v>100</v>
      </c>
      <c r="G612" t="s">
        <v>2</v>
      </c>
      <c r="H612">
        <v>1</v>
      </c>
      <c r="I612" s="3">
        <v>1190</v>
      </c>
      <c r="J612" s="4">
        <v>0</v>
      </c>
      <c r="K612" s="5">
        <v>1190</v>
      </c>
      <c r="L612" t="s">
        <v>23</v>
      </c>
      <c r="M612">
        <v>5</v>
      </c>
    </row>
    <row r="613" spans="1:13">
      <c r="A613" t="s">
        <v>663</v>
      </c>
      <c r="B613" s="1">
        <v>46022</v>
      </c>
      <c r="C613" t="s">
        <v>25</v>
      </c>
      <c r="D613" t="s">
        <v>15</v>
      </c>
      <c r="E613" t="s">
        <v>20</v>
      </c>
      <c r="F613" t="s">
        <v>21</v>
      </c>
      <c r="G613" t="s">
        <v>22</v>
      </c>
      <c r="H613">
        <v>1</v>
      </c>
      <c r="I613" s="3">
        <v>69</v>
      </c>
      <c r="J613" s="4">
        <v>0</v>
      </c>
      <c r="K613" s="5">
        <v>69</v>
      </c>
      <c r="L613" t="s">
        <v>18</v>
      </c>
      <c r="M613">
        <v>4</v>
      </c>
    </row>
    <row r="614" spans="1:13">
      <c r="A614" t="s">
        <v>664</v>
      </c>
      <c r="B614" s="1">
        <v>46022</v>
      </c>
      <c r="C614" t="s">
        <v>25</v>
      </c>
      <c r="D614" t="s">
        <v>15</v>
      </c>
      <c r="E614" t="s">
        <v>26</v>
      </c>
      <c r="F614" t="s">
        <v>60</v>
      </c>
      <c r="G614" t="s">
        <v>2</v>
      </c>
      <c r="H614">
        <v>1</v>
      </c>
      <c r="I614" s="3">
        <v>1890</v>
      </c>
      <c r="J614" s="4">
        <v>0.1</v>
      </c>
      <c r="K614" s="5">
        <v>1701</v>
      </c>
      <c r="L614" t="s">
        <v>23</v>
      </c>
      <c r="M614">
        <v>4</v>
      </c>
    </row>
  </sheetData>
  <autoFilter ref="A1:M61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437E-AAC2-4136-A73E-143B29C29AC7}">
  <dimension ref="A1:P614"/>
  <sheetViews>
    <sheetView workbookViewId="0">
      <pane ySplit="1" topLeftCell="A7" activePane="bottomLeft" state="frozen"/>
      <selection pane="bottomLeft" activeCell="L1" sqref="L1"/>
    </sheetView>
  </sheetViews>
  <sheetFormatPr defaultRowHeight="15"/>
  <cols>
    <col min="1" max="1" width="16.5703125" bestFit="1" customWidth="1"/>
    <col min="2" max="2" width="22" customWidth="1"/>
    <col min="3" max="3" width="15" customWidth="1"/>
    <col min="4" max="4" width="16" customWidth="1"/>
    <col min="5" max="5" width="14" customWidth="1"/>
    <col min="6" max="6" width="27" customWidth="1"/>
    <col min="7" max="7" width="18" customWidth="1"/>
    <col min="8" max="8" width="12" customWidth="1"/>
    <col min="9" max="9" width="20" customWidth="1"/>
    <col min="10" max="10" width="12" customWidth="1"/>
    <col min="11" max="11" width="15.7109375" bestFit="1" customWidth="1"/>
    <col min="12" max="12" width="12" customWidth="1"/>
    <col min="13" max="13" width="14" customWidth="1"/>
    <col min="16" max="16" width="9" customWidth="1"/>
  </cols>
  <sheetData>
    <row r="1" spans="1:16">
      <c r="A1" s="2" t="s">
        <v>0</v>
      </c>
      <c r="B1" s="2" t="s">
        <v>1</v>
      </c>
      <c r="C1" s="2" t="s">
        <v>2</v>
      </c>
      <c r="D1" s="2" t="s">
        <v>3</v>
      </c>
      <c r="E1" s="2" t="s">
        <v>4</v>
      </c>
      <c r="F1" s="2" t="s">
        <v>5</v>
      </c>
      <c r="G1" s="2" t="s">
        <v>6</v>
      </c>
      <c r="H1" s="2" t="s">
        <v>7</v>
      </c>
      <c r="I1" s="2" t="s">
        <v>8</v>
      </c>
      <c r="J1" s="2" t="s">
        <v>9</v>
      </c>
      <c r="K1" s="2" t="s">
        <v>10</v>
      </c>
      <c r="L1" s="2" t="s">
        <v>11</v>
      </c>
      <c r="M1" s="2" t="s">
        <v>12</v>
      </c>
    </row>
    <row r="2" spans="1:16">
      <c r="A2" t="s">
        <v>651</v>
      </c>
      <c r="B2" s="1">
        <v>46019</v>
      </c>
      <c r="C2" t="s">
        <v>34</v>
      </c>
      <c r="D2" t="s">
        <v>35</v>
      </c>
      <c r="E2" t="s">
        <v>48</v>
      </c>
      <c r="F2" t="s">
        <v>49</v>
      </c>
      <c r="G2" t="s">
        <v>2</v>
      </c>
      <c r="H2">
        <v>100</v>
      </c>
      <c r="I2" s="3">
        <v>3990</v>
      </c>
      <c r="J2" s="4">
        <v>0.05</v>
      </c>
      <c r="K2" s="5">
        <v>379050</v>
      </c>
      <c r="L2" t="s">
        <v>38</v>
      </c>
      <c r="M2">
        <v>4</v>
      </c>
    </row>
    <row r="3" spans="1:16">
      <c r="A3" t="s">
        <v>221</v>
      </c>
      <c r="B3" s="1">
        <v>45753</v>
      </c>
      <c r="C3" t="s">
        <v>54</v>
      </c>
      <c r="D3" t="s">
        <v>35</v>
      </c>
      <c r="E3" t="s">
        <v>26</v>
      </c>
      <c r="F3" t="s">
        <v>27</v>
      </c>
      <c r="G3" t="s">
        <v>22</v>
      </c>
      <c r="H3">
        <v>100</v>
      </c>
      <c r="I3" s="3">
        <v>699</v>
      </c>
      <c r="J3" s="4">
        <v>0.15</v>
      </c>
      <c r="K3" s="5">
        <v>59415</v>
      </c>
      <c r="L3" t="s">
        <v>18</v>
      </c>
    </row>
    <row r="4" spans="1:16">
      <c r="A4" t="s">
        <v>419</v>
      </c>
      <c r="B4" s="1">
        <v>45888</v>
      </c>
      <c r="C4" t="s">
        <v>44</v>
      </c>
      <c r="D4" t="s">
        <v>45</v>
      </c>
      <c r="E4" t="s">
        <v>48</v>
      </c>
      <c r="F4" t="s">
        <v>49</v>
      </c>
      <c r="G4" t="s">
        <v>22</v>
      </c>
      <c r="H4">
        <v>2</v>
      </c>
      <c r="I4" s="3">
        <v>3990</v>
      </c>
      <c r="J4" s="4">
        <v>0</v>
      </c>
      <c r="K4" s="5">
        <v>7980</v>
      </c>
      <c r="L4" t="s">
        <v>18</v>
      </c>
      <c r="M4">
        <v>3</v>
      </c>
      <c r="P4" t="str" cm="1">
        <f t="array" ref="P4">INDEX(Tableau13[Canal],_xlfn.MODE.SNGL(MATCH(Tableau13[Canal],Tableau13[Canal],0)))</f>
        <v>Magasin</v>
      </c>
    </row>
    <row r="5" spans="1:16">
      <c r="A5" t="s">
        <v>478</v>
      </c>
      <c r="B5" s="1">
        <v>45924</v>
      </c>
      <c r="C5" t="s">
        <v>14</v>
      </c>
      <c r="D5" t="s">
        <v>15</v>
      </c>
      <c r="E5" t="s">
        <v>48</v>
      </c>
      <c r="F5" t="s">
        <v>49</v>
      </c>
      <c r="G5" t="s">
        <v>2</v>
      </c>
      <c r="H5">
        <v>2</v>
      </c>
      <c r="I5" s="3">
        <v>3990</v>
      </c>
      <c r="J5" s="4">
        <v>0</v>
      </c>
      <c r="K5" s="5">
        <v>7980</v>
      </c>
      <c r="L5" t="s">
        <v>38</v>
      </c>
      <c r="M5">
        <v>5</v>
      </c>
    </row>
    <row r="6" spans="1:16">
      <c r="A6" t="s">
        <v>512</v>
      </c>
      <c r="B6" s="1">
        <v>45939</v>
      </c>
      <c r="C6" t="s">
        <v>44</v>
      </c>
      <c r="D6" t="s">
        <v>45</v>
      </c>
      <c r="E6" t="s">
        <v>48</v>
      </c>
      <c r="F6" t="s">
        <v>49</v>
      </c>
      <c r="G6" t="s">
        <v>22</v>
      </c>
      <c r="H6">
        <v>2</v>
      </c>
      <c r="I6" s="3">
        <v>3990</v>
      </c>
      <c r="J6" s="4">
        <v>0</v>
      </c>
      <c r="K6" s="5">
        <v>7980</v>
      </c>
      <c r="L6" t="s">
        <v>23</v>
      </c>
      <c r="M6">
        <v>1</v>
      </c>
    </row>
    <row r="7" spans="1:16">
      <c r="A7" t="s">
        <v>562</v>
      </c>
      <c r="B7" s="1">
        <v>45968</v>
      </c>
      <c r="C7" t="s">
        <v>40</v>
      </c>
      <c r="D7" t="s">
        <v>41</v>
      </c>
      <c r="E7" t="s">
        <v>48</v>
      </c>
      <c r="F7" t="s">
        <v>49</v>
      </c>
      <c r="G7" t="s">
        <v>22</v>
      </c>
      <c r="H7">
        <v>2</v>
      </c>
      <c r="I7" s="3">
        <v>3990</v>
      </c>
      <c r="J7" s="4">
        <v>0</v>
      </c>
      <c r="K7" s="5">
        <v>7980</v>
      </c>
      <c r="L7" t="s">
        <v>38</v>
      </c>
      <c r="M7">
        <v>3</v>
      </c>
    </row>
    <row r="8" spans="1:16">
      <c r="A8" t="s">
        <v>97</v>
      </c>
      <c r="B8" s="1">
        <v>45686</v>
      </c>
      <c r="C8" t="s">
        <v>57</v>
      </c>
      <c r="D8" t="s">
        <v>15</v>
      </c>
      <c r="E8" t="s">
        <v>62</v>
      </c>
      <c r="F8" t="s">
        <v>63</v>
      </c>
      <c r="G8" t="s">
        <v>22</v>
      </c>
      <c r="H8">
        <v>2</v>
      </c>
      <c r="I8" s="3">
        <v>2490</v>
      </c>
      <c r="J8" s="4">
        <v>0</v>
      </c>
      <c r="K8" s="5">
        <v>4980</v>
      </c>
      <c r="L8" t="s">
        <v>51</v>
      </c>
      <c r="M8">
        <v>3</v>
      </c>
    </row>
    <row r="9" spans="1:16">
      <c r="A9" t="s">
        <v>140</v>
      </c>
      <c r="B9" s="1">
        <v>45707</v>
      </c>
      <c r="C9" t="s">
        <v>31</v>
      </c>
      <c r="D9" t="s">
        <v>15</v>
      </c>
      <c r="E9" t="s">
        <v>62</v>
      </c>
      <c r="F9" t="s">
        <v>63</v>
      </c>
      <c r="G9" t="s">
        <v>2</v>
      </c>
      <c r="H9">
        <v>2</v>
      </c>
      <c r="I9" s="3">
        <v>2490</v>
      </c>
      <c r="J9" s="4">
        <v>0</v>
      </c>
      <c r="K9" s="5">
        <v>4980</v>
      </c>
      <c r="L9" t="s">
        <v>23</v>
      </c>
      <c r="M9">
        <v>5</v>
      </c>
    </row>
    <row r="10" spans="1:16">
      <c r="A10" t="s">
        <v>436</v>
      </c>
      <c r="B10" s="1">
        <v>45900</v>
      </c>
      <c r="C10" t="s">
        <v>25</v>
      </c>
      <c r="D10" t="s">
        <v>15</v>
      </c>
      <c r="E10" t="s">
        <v>62</v>
      </c>
      <c r="F10" t="s">
        <v>63</v>
      </c>
      <c r="G10" t="s">
        <v>37</v>
      </c>
      <c r="H10">
        <v>2</v>
      </c>
      <c r="I10" s="3">
        <v>2490</v>
      </c>
      <c r="J10" s="4">
        <v>0</v>
      </c>
      <c r="K10" s="5">
        <v>4980</v>
      </c>
      <c r="L10" t="s">
        <v>23</v>
      </c>
      <c r="M10">
        <v>5</v>
      </c>
      <c r="P10" t="e">
        <f>_xlfn.MODE.SNGL(Tableau13[Canal])</f>
        <v>#N/A</v>
      </c>
    </row>
    <row r="11" spans="1:16">
      <c r="A11" t="s">
        <v>560</v>
      </c>
      <c r="B11" s="1">
        <v>45967</v>
      </c>
      <c r="C11" t="s">
        <v>31</v>
      </c>
      <c r="D11" t="s">
        <v>15</v>
      </c>
      <c r="E11" t="s">
        <v>62</v>
      </c>
      <c r="F11" t="s">
        <v>63</v>
      </c>
      <c r="G11" t="s">
        <v>2</v>
      </c>
      <c r="H11">
        <v>2</v>
      </c>
      <c r="I11" s="3">
        <v>2490</v>
      </c>
      <c r="J11" s="4">
        <v>0</v>
      </c>
      <c r="K11" s="5">
        <v>4980</v>
      </c>
      <c r="L11" t="s">
        <v>23</v>
      </c>
      <c r="M11">
        <v>5</v>
      </c>
    </row>
    <row r="12" spans="1:16">
      <c r="A12" t="s">
        <v>94</v>
      </c>
      <c r="B12" s="1">
        <v>45684</v>
      </c>
      <c r="C12" t="s">
        <v>54</v>
      </c>
      <c r="D12" t="s">
        <v>35</v>
      </c>
      <c r="E12" t="s">
        <v>48</v>
      </c>
      <c r="F12" t="s">
        <v>65</v>
      </c>
      <c r="G12" t="s">
        <v>2</v>
      </c>
      <c r="H12">
        <v>2</v>
      </c>
      <c r="I12" s="3">
        <v>2590</v>
      </c>
      <c r="J12" s="4">
        <v>0.05</v>
      </c>
      <c r="K12" s="5">
        <v>4921</v>
      </c>
      <c r="L12" t="s">
        <v>23</v>
      </c>
      <c r="M12">
        <v>5</v>
      </c>
      <c r="P12">
        <f>_xlfn.MODE.SNGL(Tableau13[Montant_TTC])</f>
        <v>19</v>
      </c>
    </row>
    <row r="13" spans="1:16">
      <c r="A13" t="s">
        <v>315</v>
      </c>
      <c r="B13" s="1">
        <v>45814</v>
      </c>
      <c r="C13" t="s">
        <v>57</v>
      </c>
      <c r="D13" t="s">
        <v>15</v>
      </c>
      <c r="E13" t="s">
        <v>48</v>
      </c>
      <c r="F13" t="s">
        <v>65</v>
      </c>
      <c r="G13" t="s">
        <v>2</v>
      </c>
      <c r="H13">
        <v>2</v>
      </c>
      <c r="I13" s="3">
        <v>2590</v>
      </c>
      <c r="J13" s="4">
        <v>0.1</v>
      </c>
      <c r="K13" s="5">
        <v>4662</v>
      </c>
      <c r="L13" t="s">
        <v>23</v>
      </c>
      <c r="M13">
        <v>1</v>
      </c>
      <c r="P13">
        <f>COUNTIFS(Tableau13[Canal],"Magasin")</f>
        <v>354</v>
      </c>
    </row>
    <row r="14" spans="1:16">
      <c r="A14" t="s">
        <v>421</v>
      </c>
      <c r="B14" s="1">
        <v>45890</v>
      </c>
      <c r="C14" t="s">
        <v>31</v>
      </c>
      <c r="D14" t="s">
        <v>15</v>
      </c>
      <c r="E14" t="s">
        <v>48</v>
      </c>
      <c r="F14" t="s">
        <v>65</v>
      </c>
      <c r="G14" t="s">
        <v>2</v>
      </c>
      <c r="H14">
        <v>2</v>
      </c>
      <c r="I14" s="3">
        <v>2590</v>
      </c>
      <c r="J14" s="4">
        <v>0.1</v>
      </c>
      <c r="K14" s="5">
        <v>4662</v>
      </c>
      <c r="L14" t="s">
        <v>51</v>
      </c>
      <c r="M14">
        <v>5</v>
      </c>
      <c r="P14">
        <f>AVERAGEIFS(Tableau13[Montant_TTC], Tableau13[Categorie], "VAE")</f>
        <v>6936.3144329896904</v>
      </c>
    </row>
    <row r="15" spans="1:16">
      <c r="A15" t="s">
        <v>210</v>
      </c>
      <c r="B15" s="1">
        <v>45744</v>
      </c>
      <c r="C15" t="s">
        <v>25</v>
      </c>
      <c r="D15" t="s">
        <v>15</v>
      </c>
      <c r="E15" t="s">
        <v>48</v>
      </c>
      <c r="F15" t="s">
        <v>65</v>
      </c>
      <c r="G15" t="s">
        <v>2</v>
      </c>
      <c r="H15">
        <v>2</v>
      </c>
      <c r="I15" s="3">
        <v>2590</v>
      </c>
      <c r="J15" s="4">
        <v>0.15</v>
      </c>
      <c r="K15" s="5">
        <v>4403</v>
      </c>
      <c r="L15" t="s">
        <v>23</v>
      </c>
      <c r="M15">
        <v>4</v>
      </c>
    </row>
    <row r="16" spans="1:16">
      <c r="A16" t="s">
        <v>241</v>
      </c>
      <c r="B16" s="1">
        <v>45766</v>
      </c>
      <c r="C16" t="s">
        <v>54</v>
      </c>
      <c r="D16" t="s">
        <v>35</v>
      </c>
      <c r="E16" t="s">
        <v>48</v>
      </c>
      <c r="F16" t="s">
        <v>65</v>
      </c>
      <c r="G16" t="s">
        <v>22</v>
      </c>
      <c r="H16">
        <v>2</v>
      </c>
      <c r="I16" s="3">
        <v>2590</v>
      </c>
      <c r="J16" s="4">
        <v>0.2</v>
      </c>
      <c r="K16" s="5">
        <v>4144</v>
      </c>
      <c r="L16" t="s">
        <v>38</v>
      </c>
    </row>
    <row r="17" spans="1:13">
      <c r="A17" t="s">
        <v>47</v>
      </c>
      <c r="B17" s="1">
        <v>45663</v>
      </c>
      <c r="C17" t="s">
        <v>14</v>
      </c>
      <c r="D17" t="s">
        <v>15</v>
      </c>
      <c r="E17" t="s">
        <v>48</v>
      </c>
      <c r="F17" t="s">
        <v>49</v>
      </c>
      <c r="G17" t="s">
        <v>22</v>
      </c>
      <c r="H17">
        <v>1</v>
      </c>
      <c r="I17" s="3">
        <v>3990</v>
      </c>
      <c r="J17" s="4">
        <v>0</v>
      </c>
      <c r="K17" s="5">
        <v>3990</v>
      </c>
      <c r="L17" t="s">
        <v>23</v>
      </c>
      <c r="M17">
        <v>4</v>
      </c>
    </row>
    <row r="18" spans="1:13">
      <c r="A18" t="s">
        <v>116</v>
      </c>
      <c r="B18" s="1">
        <v>45695</v>
      </c>
      <c r="C18" t="s">
        <v>14</v>
      </c>
      <c r="D18" t="s">
        <v>15</v>
      </c>
      <c r="E18" t="s">
        <v>48</v>
      </c>
      <c r="F18" t="s">
        <v>49</v>
      </c>
      <c r="G18" t="s">
        <v>22</v>
      </c>
      <c r="H18">
        <v>1</v>
      </c>
      <c r="I18" s="3">
        <v>3990</v>
      </c>
      <c r="J18" s="4">
        <v>0</v>
      </c>
      <c r="K18" s="5">
        <v>3990</v>
      </c>
      <c r="L18" t="s">
        <v>38</v>
      </c>
      <c r="M18">
        <v>1</v>
      </c>
    </row>
    <row r="19" spans="1:13">
      <c r="A19" t="s">
        <v>238</v>
      </c>
      <c r="B19" s="1">
        <v>45766</v>
      </c>
      <c r="C19" t="s">
        <v>40</v>
      </c>
      <c r="D19" t="s">
        <v>41</v>
      </c>
      <c r="E19" t="s">
        <v>48</v>
      </c>
      <c r="F19" t="s">
        <v>49</v>
      </c>
      <c r="G19" t="s">
        <v>2</v>
      </c>
      <c r="H19">
        <v>1</v>
      </c>
      <c r="I19" s="3">
        <v>3990</v>
      </c>
      <c r="J19" s="4">
        <v>0</v>
      </c>
      <c r="K19" s="5">
        <v>3990</v>
      </c>
      <c r="L19" t="s">
        <v>51</v>
      </c>
      <c r="M19">
        <v>5</v>
      </c>
    </row>
    <row r="20" spans="1:13">
      <c r="A20" t="s">
        <v>239</v>
      </c>
      <c r="B20" s="1">
        <v>45766</v>
      </c>
      <c r="C20" t="s">
        <v>40</v>
      </c>
      <c r="D20" t="s">
        <v>41</v>
      </c>
      <c r="E20" t="s">
        <v>48</v>
      </c>
      <c r="F20" t="s">
        <v>49</v>
      </c>
      <c r="G20" t="s">
        <v>2</v>
      </c>
      <c r="H20">
        <v>1</v>
      </c>
      <c r="I20" s="3">
        <v>3990</v>
      </c>
      <c r="J20" s="4">
        <v>0</v>
      </c>
      <c r="K20" s="5">
        <v>3990</v>
      </c>
      <c r="L20" t="s">
        <v>23</v>
      </c>
    </row>
    <row r="21" spans="1:13">
      <c r="A21" t="s">
        <v>259</v>
      </c>
      <c r="B21" s="1">
        <v>45778</v>
      </c>
      <c r="C21" t="s">
        <v>44</v>
      </c>
      <c r="D21" t="s">
        <v>45</v>
      </c>
      <c r="E21" t="s">
        <v>48</v>
      </c>
      <c r="F21" t="s">
        <v>49</v>
      </c>
      <c r="G21" t="s">
        <v>22</v>
      </c>
      <c r="H21">
        <v>1</v>
      </c>
      <c r="I21" s="3">
        <v>3990</v>
      </c>
      <c r="J21" s="4">
        <v>0</v>
      </c>
      <c r="K21" s="5">
        <v>3990</v>
      </c>
      <c r="L21" t="s">
        <v>18</v>
      </c>
      <c r="M21">
        <v>4</v>
      </c>
    </row>
    <row r="22" spans="1:13">
      <c r="A22" t="s">
        <v>311</v>
      </c>
      <c r="B22" s="1">
        <v>45813</v>
      </c>
      <c r="C22" t="s">
        <v>31</v>
      </c>
      <c r="D22" t="s">
        <v>15</v>
      </c>
      <c r="E22" t="s">
        <v>48</v>
      </c>
      <c r="F22" t="s">
        <v>49</v>
      </c>
      <c r="G22" t="s">
        <v>22</v>
      </c>
      <c r="H22">
        <v>1</v>
      </c>
      <c r="I22" s="3">
        <v>3990</v>
      </c>
      <c r="J22" s="4">
        <v>0</v>
      </c>
      <c r="K22" s="5">
        <v>3990</v>
      </c>
      <c r="L22" t="s">
        <v>23</v>
      </c>
      <c r="M22">
        <v>5</v>
      </c>
    </row>
    <row r="23" spans="1:13">
      <c r="A23" t="s">
        <v>349</v>
      </c>
      <c r="B23" s="1">
        <v>45832</v>
      </c>
      <c r="C23" t="s">
        <v>34</v>
      </c>
      <c r="D23" t="s">
        <v>35</v>
      </c>
      <c r="E23" t="s">
        <v>48</v>
      </c>
      <c r="F23" t="s">
        <v>49</v>
      </c>
      <c r="G23" t="s">
        <v>2</v>
      </c>
      <c r="H23">
        <v>1</v>
      </c>
      <c r="I23" s="3">
        <v>3990</v>
      </c>
      <c r="J23" s="4">
        <v>0</v>
      </c>
      <c r="K23" s="5">
        <v>3990</v>
      </c>
      <c r="L23" t="s">
        <v>51</v>
      </c>
      <c r="M23">
        <v>2</v>
      </c>
    </row>
    <row r="24" spans="1:13">
      <c r="A24" t="s">
        <v>374</v>
      </c>
      <c r="B24" s="1">
        <v>45852</v>
      </c>
      <c r="C24" t="s">
        <v>44</v>
      </c>
      <c r="D24" t="s">
        <v>45</v>
      </c>
      <c r="E24" t="s">
        <v>48</v>
      </c>
      <c r="F24" t="s">
        <v>49</v>
      </c>
      <c r="G24" t="s">
        <v>22</v>
      </c>
      <c r="H24">
        <v>1</v>
      </c>
      <c r="I24" s="3">
        <v>3990</v>
      </c>
      <c r="J24" s="4">
        <v>0</v>
      </c>
      <c r="K24" s="5">
        <v>3990</v>
      </c>
      <c r="L24" t="s">
        <v>23</v>
      </c>
      <c r="M24">
        <v>5</v>
      </c>
    </row>
    <row r="25" spans="1:13">
      <c r="A25" t="s">
        <v>511</v>
      </c>
      <c r="B25" s="1">
        <v>45939</v>
      </c>
      <c r="C25" t="s">
        <v>57</v>
      </c>
      <c r="D25" t="s">
        <v>15</v>
      </c>
      <c r="E25" t="s">
        <v>48</v>
      </c>
      <c r="F25" t="s">
        <v>49</v>
      </c>
      <c r="G25" t="s">
        <v>2</v>
      </c>
      <c r="H25">
        <v>1</v>
      </c>
      <c r="I25" s="3">
        <v>3990</v>
      </c>
      <c r="J25" s="4">
        <v>0</v>
      </c>
      <c r="K25" s="5">
        <v>3990</v>
      </c>
      <c r="L25" t="s">
        <v>51</v>
      </c>
    </row>
    <row r="26" spans="1:13">
      <c r="A26" t="s">
        <v>597</v>
      </c>
      <c r="B26" s="1">
        <v>45985</v>
      </c>
      <c r="C26" t="s">
        <v>54</v>
      </c>
      <c r="D26" t="s">
        <v>35</v>
      </c>
      <c r="E26" t="s">
        <v>48</v>
      </c>
      <c r="F26" t="s">
        <v>49</v>
      </c>
      <c r="G26" t="s">
        <v>37</v>
      </c>
      <c r="H26">
        <v>1</v>
      </c>
      <c r="I26" s="3">
        <v>3990</v>
      </c>
      <c r="J26" s="4">
        <v>0</v>
      </c>
      <c r="K26" s="5">
        <v>3990</v>
      </c>
      <c r="L26" t="s">
        <v>23</v>
      </c>
      <c r="M26">
        <v>4</v>
      </c>
    </row>
    <row r="27" spans="1:13">
      <c r="A27" t="s">
        <v>621</v>
      </c>
      <c r="B27" s="1">
        <v>46000</v>
      </c>
      <c r="C27" t="s">
        <v>54</v>
      </c>
      <c r="D27" t="s">
        <v>35</v>
      </c>
      <c r="E27" t="s">
        <v>48</v>
      </c>
      <c r="F27" t="s">
        <v>49</v>
      </c>
      <c r="G27" t="s">
        <v>37</v>
      </c>
      <c r="H27">
        <v>1</v>
      </c>
      <c r="I27" s="3">
        <v>3990</v>
      </c>
      <c r="J27" s="4">
        <v>0</v>
      </c>
      <c r="K27" s="5">
        <v>3990</v>
      </c>
      <c r="L27" t="s">
        <v>23</v>
      </c>
      <c r="M27">
        <v>4</v>
      </c>
    </row>
    <row r="28" spans="1:13">
      <c r="A28" t="s">
        <v>639</v>
      </c>
      <c r="B28" s="1">
        <v>46011</v>
      </c>
      <c r="C28" t="s">
        <v>25</v>
      </c>
      <c r="D28" t="s">
        <v>15</v>
      </c>
      <c r="E28" t="s">
        <v>48</v>
      </c>
      <c r="F28" t="s">
        <v>49</v>
      </c>
      <c r="G28" t="s">
        <v>2</v>
      </c>
      <c r="H28">
        <v>1</v>
      </c>
      <c r="I28" s="3">
        <v>3990</v>
      </c>
      <c r="J28" s="4">
        <v>0</v>
      </c>
      <c r="K28" s="5">
        <v>3990</v>
      </c>
      <c r="L28" t="s">
        <v>23</v>
      </c>
      <c r="M28">
        <v>5</v>
      </c>
    </row>
    <row r="29" spans="1:13">
      <c r="A29" t="s">
        <v>660</v>
      </c>
      <c r="B29" s="1">
        <v>46021</v>
      </c>
      <c r="C29" t="s">
        <v>44</v>
      </c>
      <c r="D29" t="s">
        <v>45</v>
      </c>
      <c r="E29" t="s">
        <v>48</v>
      </c>
      <c r="F29" t="s">
        <v>49</v>
      </c>
      <c r="G29" t="s">
        <v>22</v>
      </c>
      <c r="H29">
        <v>1</v>
      </c>
      <c r="I29" s="3">
        <v>3990</v>
      </c>
      <c r="J29" s="4">
        <v>0</v>
      </c>
      <c r="K29" s="5">
        <v>3990</v>
      </c>
      <c r="L29" t="s">
        <v>23</v>
      </c>
      <c r="M29">
        <v>5</v>
      </c>
    </row>
    <row r="30" spans="1:13">
      <c r="A30" t="s">
        <v>167</v>
      </c>
      <c r="B30" s="1">
        <v>45722</v>
      </c>
      <c r="C30" t="s">
        <v>40</v>
      </c>
      <c r="D30" t="s">
        <v>41</v>
      </c>
      <c r="E30" t="s">
        <v>48</v>
      </c>
      <c r="F30" t="s">
        <v>49</v>
      </c>
      <c r="G30" t="s">
        <v>2</v>
      </c>
      <c r="H30">
        <v>1</v>
      </c>
      <c r="I30" s="3">
        <v>3990</v>
      </c>
      <c r="J30" s="4">
        <v>0.05</v>
      </c>
      <c r="K30" s="5">
        <v>3790.5</v>
      </c>
      <c r="L30" t="s">
        <v>51</v>
      </c>
      <c r="M30">
        <v>5</v>
      </c>
    </row>
    <row r="31" spans="1:13">
      <c r="A31" t="s">
        <v>317</v>
      </c>
      <c r="B31" s="1">
        <v>45814</v>
      </c>
      <c r="C31" t="s">
        <v>54</v>
      </c>
      <c r="D31" t="s">
        <v>35</v>
      </c>
      <c r="E31" t="s">
        <v>48</v>
      </c>
      <c r="F31" t="s">
        <v>49</v>
      </c>
      <c r="G31" t="s">
        <v>2</v>
      </c>
      <c r="H31">
        <v>1</v>
      </c>
      <c r="I31" s="3">
        <v>3990</v>
      </c>
      <c r="J31" s="4">
        <v>0.05</v>
      </c>
      <c r="K31" s="5">
        <v>3790.5</v>
      </c>
      <c r="L31" t="s">
        <v>51</v>
      </c>
      <c r="M31">
        <v>5</v>
      </c>
    </row>
    <row r="32" spans="1:13">
      <c r="A32" t="s">
        <v>551</v>
      </c>
      <c r="B32" s="1">
        <v>45963</v>
      </c>
      <c r="C32" t="s">
        <v>31</v>
      </c>
      <c r="D32" t="s">
        <v>15</v>
      </c>
      <c r="E32" t="s">
        <v>48</v>
      </c>
      <c r="F32" t="s">
        <v>49</v>
      </c>
      <c r="G32" t="s">
        <v>2</v>
      </c>
      <c r="H32">
        <v>1</v>
      </c>
      <c r="I32" s="3">
        <v>3990</v>
      </c>
      <c r="J32" s="4">
        <v>0.05</v>
      </c>
      <c r="K32" s="5">
        <v>3790.5</v>
      </c>
      <c r="L32" t="s">
        <v>38</v>
      </c>
    </row>
    <row r="33" spans="1:13">
      <c r="A33" t="s">
        <v>152</v>
      </c>
      <c r="B33" s="1">
        <v>45713</v>
      </c>
      <c r="C33" t="s">
        <v>44</v>
      </c>
      <c r="D33" t="s">
        <v>45</v>
      </c>
      <c r="E33" t="s">
        <v>26</v>
      </c>
      <c r="F33" t="s">
        <v>60</v>
      </c>
      <c r="G33" t="s">
        <v>2</v>
      </c>
      <c r="H33">
        <v>2</v>
      </c>
      <c r="I33" s="3">
        <v>1890</v>
      </c>
      <c r="J33" s="4">
        <v>0</v>
      </c>
      <c r="K33" s="5">
        <v>3780</v>
      </c>
      <c r="L33" t="s">
        <v>23</v>
      </c>
      <c r="M33">
        <v>4</v>
      </c>
    </row>
    <row r="34" spans="1:13">
      <c r="A34" t="s">
        <v>187</v>
      </c>
      <c r="B34" s="1">
        <v>45728</v>
      </c>
      <c r="C34" t="s">
        <v>31</v>
      </c>
      <c r="D34" t="s">
        <v>15</v>
      </c>
      <c r="E34" t="s">
        <v>26</v>
      </c>
      <c r="F34" t="s">
        <v>60</v>
      </c>
      <c r="G34" t="s">
        <v>2</v>
      </c>
      <c r="H34">
        <v>2</v>
      </c>
      <c r="I34" s="3">
        <v>1890</v>
      </c>
      <c r="J34" s="4">
        <v>0</v>
      </c>
      <c r="K34" s="5">
        <v>3780</v>
      </c>
      <c r="L34" t="s">
        <v>18</v>
      </c>
      <c r="M34">
        <v>4</v>
      </c>
    </row>
    <row r="35" spans="1:13">
      <c r="A35" t="s">
        <v>228</v>
      </c>
      <c r="B35" s="1">
        <v>45760</v>
      </c>
      <c r="C35" t="s">
        <v>31</v>
      </c>
      <c r="D35" t="s">
        <v>15</v>
      </c>
      <c r="E35" t="s">
        <v>26</v>
      </c>
      <c r="F35" t="s">
        <v>60</v>
      </c>
      <c r="G35" t="s">
        <v>2</v>
      </c>
      <c r="H35">
        <v>2</v>
      </c>
      <c r="I35" s="3">
        <v>1890</v>
      </c>
      <c r="J35" s="4">
        <v>0</v>
      </c>
      <c r="K35" s="5">
        <v>3780</v>
      </c>
      <c r="L35" t="s">
        <v>23</v>
      </c>
      <c r="M35">
        <v>4</v>
      </c>
    </row>
    <row r="36" spans="1:13">
      <c r="A36" t="s">
        <v>429</v>
      </c>
      <c r="B36" s="1">
        <v>45896</v>
      </c>
      <c r="C36" t="s">
        <v>34</v>
      </c>
      <c r="D36" t="s">
        <v>35</v>
      </c>
      <c r="E36" t="s">
        <v>26</v>
      </c>
      <c r="F36" t="s">
        <v>60</v>
      </c>
      <c r="G36" t="s">
        <v>22</v>
      </c>
      <c r="H36">
        <v>2</v>
      </c>
      <c r="I36" s="3">
        <v>1890</v>
      </c>
      <c r="J36" s="4">
        <v>0</v>
      </c>
      <c r="K36" s="5">
        <v>3780</v>
      </c>
      <c r="L36" t="s">
        <v>38</v>
      </c>
      <c r="M36">
        <v>4</v>
      </c>
    </row>
    <row r="37" spans="1:13">
      <c r="A37" t="s">
        <v>274</v>
      </c>
      <c r="B37" s="1">
        <v>45787</v>
      </c>
      <c r="C37" t="s">
        <v>25</v>
      </c>
      <c r="D37" t="s">
        <v>15</v>
      </c>
      <c r="E37" t="s">
        <v>48</v>
      </c>
      <c r="F37" t="s">
        <v>49</v>
      </c>
      <c r="G37" t="s">
        <v>37</v>
      </c>
      <c r="H37">
        <v>1</v>
      </c>
      <c r="I37" s="3">
        <v>3990</v>
      </c>
      <c r="J37" s="4">
        <v>0.1</v>
      </c>
      <c r="K37" s="5">
        <v>3591</v>
      </c>
      <c r="L37" t="s">
        <v>38</v>
      </c>
      <c r="M37">
        <v>4</v>
      </c>
    </row>
    <row r="38" spans="1:13">
      <c r="A38" t="s">
        <v>397</v>
      </c>
      <c r="B38" s="1">
        <v>45870</v>
      </c>
      <c r="C38" t="s">
        <v>14</v>
      </c>
      <c r="D38" t="s">
        <v>15</v>
      </c>
      <c r="E38" t="s">
        <v>48</v>
      </c>
      <c r="F38" t="s">
        <v>49</v>
      </c>
      <c r="G38" t="s">
        <v>2</v>
      </c>
      <c r="H38">
        <v>1</v>
      </c>
      <c r="I38" s="3">
        <v>3990</v>
      </c>
      <c r="J38" s="4">
        <v>0.1</v>
      </c>
      <c r="K38" s="5">
        <v>3591</v>
      </c>
      <c r="L38" t="s">
        <v>38</v>
      </c>
      <c r="M38">
        <v>4</v>
      </c>
    </row>
    <row r="39" spans="1:13">
      <c r="A39" t="s">
        <v>399</v>
      </c>
      <c r="B39" s="1">
        <v>45872</v>
      </c>
      <c r="C39" t="s">
        <v>44</v>
      </c>
      <c r="D39" t="s">
        <v>45</v>
      </c>
      <c r="E39" t="s">
        <v>48</v>
      </c>
      <c r="F39" t="s">
        <v>49</v>
      </c>
      <c r="G39" t="s">
        <v>2</v>
      </c>
      <c r="H39">
        <v>1</v>
      </c>
      <c r="I39" s="3">
        <v>3990</v>
      </c>
      <c r="J39" s="4">
        <v>0.1</v>
      </c>
      <c r="K39" s="5">
        <v>3591</v>
      </c>
      <c r="L39" t="s">
        <v>51</v>
      </c>
      <c r="M39">
        <v>4</v>
      </c>
    </row>
    <row r="40" spans="1:13">
      <c r="A40" t="s">
        <v>450</v>
      </c>
      <c r="B40" s="1">
        <v>45908</v>
      </c>
      <c r="C40" t="s">
        <v>14</v>
      </c>
      <c r="D40" t="s">
        <v>15</v>
      </c>
      <c r="E40" t="s">
        <v>48</v>
      </c>
      <c r="F40" t="s">
        <v>49</v>
      </c>
      <c r="G40" t="s">
        <v>22</v>
      </c>
      <c r="H40">
        <v>1</v>
      </c>
      <c r="I40" s="3">
        <v>3990</v>
      </c>
      <c r="J40" s="4">
        <v>0.1</v>
      </c>
      <c r="K40" s="5">
        <v>3591</v>
      </c>
      <c r="L40" t="s">
        <v>23</v>
      </c>
      <c r="M40">
        <v>5</v>
      </c>
    </row>
    <row r="41" spans="1:13">
      <c r="A41" t="s">
        <v>214</v>
      </c>
      <c r="B41" s="1">
        <v>45745</v>
      </c>
      <c r="C41" t="s">
        <v>14</v>
      </c>
      <c r="D41" t="s">
        <v>15</v>
      </c>
      <c r="E41" t="s">
        <v>48</v>
      </c>
      <c r="F41" t="s">
        <v>79</v>
      </c>
      <c r="G41" t="s">
        <v>2</v>
      </c>
      <c r="H41">
        <v>2</v>
      </c>
      <c r="I41" s="3">
        <v>1790</v>
      </c>
      <c r="J41" s="4">
        <v>0</v>
      </c>
      <c r="K41" s="5">
        <v>3580</v>
      </c>
      <c r="L41" t="s">
        <v>38</v>
      </c>
      <c r="M41">
        <v>4</v>
      </c>
    </row>
    <row r="42" spans="1:13">
      <c r="A42" t="s">
        <v>470</v>
      </c>
      <c r="B42" s="1">
        <v>45917</v>
      </c>
      <c r="C42" t="s">
        <v>54</v>
      </c>
      <c r="D42" t="s">
        <v>35</v>
      </c>
      <c r="E42" t="s">
        <v>48</v>
      </c>
      <c r="F42" t="s">
        <v>79</v>
      </c>
      <c r="G42" t="s">
        <v>2</v>
      </c>
      <c r="H42">
        <v>2</v>
      </c>
      <c r="I42" s="3">
        <v>1790</v>
      </c>
      <c r="J42" s="4">
        <v>0</v>
      </c>
      <c r="K42" s="5">
        <v>3580</v>
      </c>
      <c r="L42" t="s">
        <v>23</v>
      </c>
      <c r="M42">
        <v>4</v>
      </c>
    </row>
    <row r="43" spans="1:13">
      <c r="A43" t="s">
        <v>652</v>
      </c>
      <c r="B43" s="1">
        <v>46019</v>
      </c>
      <c r="C43" t="s">
        <v>57</v>
      </c>
      <c r="D43" t="s">
        <v>15</v>
      </c>
      <c r="E43" t="s">
        <v>48</v>
      </c>
      <c r="F43" t="s">
        <v>79</v>
      </c>
      <c r="G43" t="s">
        <v>2</v>
      </c>
      <c r="H43">
        <v>2</v>
      </c>
      <c r="I43" s="3">
        <v>1790</v>
      </c>
      <c r="J43" s="4">
        <v>0</v>
      </c>
      <c r="K43" s="5">
        <v>3580</v>
      </c>
      <c r="L43" t="s">
        <v>23</v>
      </c>
      <c r="M43">
        <v>5</v>
      </c>
    </row>
    <row r="44" spans="1:13">
      <c r="A44" t="s">
        <v>184</v>
      </c>
      <c r="B44" s="1">
        <v>45726</v>
      </c>
      <c r="C44" t="s">
        <v>54</v>
      </c>
      <c r="D44" t="s">
        <v>35</v>
      </c>
      <c r="E44" t="s">
        <v>48</v>
      </c>
      <c r="F44" t="s">
        <v>79</v>
      </c>
      <c r="G44" t="s">
        <v>2</v>
      </c>
      <c r="H44">
        <v>2</v>
      </c>
      <c r="I44" s="3">
        <v>1790</v>
      </c>
      <c r="J44" s="4">
        <v>0.05</v>
      </c>
      <c r="K44" s="5">
        <v>3401</v>
      </c>
      <c r="L44" t="s">
        <v>23</v>
      </c>
    </row>
    <row r="45" spans="1:13">
      <c r="A45" t="s">
        <v>70</v>
      </c>
      <c r="B45" s="1">
        <v>45671</v>
      </c>
      <c r="C45" t="s">
        <v>40</v>
      </c>
      <c r="D45" t="s">
        <v>41</v>
      </c>
      <c r="E45" t="s">
        <v>48</v>
      </c>
      <c r="F45" t="s">
        <v>49</v>
      </c>
      <c r="G45" t="s">
        <v>22</v>
      </c>
      <c r="H45">
        <v>1</v>
      </c>
      <c r="I45" s="3">
        <v>3990</v>
      </c>
      <c r="J45" s="4">
        <v>0.15</v>
      </c>
      <c r="K45" s="5">
        <v>3391.5</v>
      </c>
      <c r="L45" t="s">
        <v>23</v>
      </c>
    </row>
    <row r="46" spans="1:13">
      <c r="A46" t="s">
        <v>473</v>
      </c>
      <c r="B46" s="1">
        <v>45921</v>
      </c>
      <c r="C46" t="s">
        <v>34</v>
      </c>
      <c r="D46" t="s">
        <v>35</v>
      </c>
      <c r="E46" t="s">
        <v>48</v>
      </c>
      <c r="F46" t="s">
        <v>49</v>
      </c>
      <c r="G46" t="s">
        <v>2</v>
      </c>
      <c r="H46">
        <v>1</v>
      </c>
      <c r="I46" s="3">
        <v>3990</v>
      </c>
      <c r="J46" s="4">
        <v>0.15</v>
      </c>
      <c r="K46" s="5">
        <v>3391.5</v>
      </c>
      <c r="L46" t="s">
        <v>23</v>
      </c>
      <c r="M46">
        <v>4</v>
      </c>
    </row>
    <row r="47" spans="1:13">
      <c r="A47" t="s">
        <v>532</v>
      </c>
      <c r="B47" s="1">
        <v>45950</v>
      </c>
      <c r="C47" t="s">
        <v>57</v>
      </c>
      <c r="D47" t="s">
        <v>15</v>
      </c>
      <c r="E47" t="s">
        <v>48</v>
      </c>
      <c r="F47" t="s">
        <v>49</v>
      </c>
      <c r="G47" t="s">
        <v>37</v>
      </c>
      <c r="H47">
        <v>1</v>
      </c>
      <c r="I47" s="3">
        <v>3990</v>
      </c>
      <c r="J47" s="4">
        <v>0.15</v>
      </c>
      <c r="K47" s="5">
        <v>3391.5</v>
      </c>
      <c r="L47" t="s">
        <v>18</v>
      </c>
      <c r="M47">
        <v>4</v>
      </c>
    </row>
    <row r="48" spans="1:13">
      <c r="A48" t="s">
        <v>407</v>
      </c>
      <c r="B48" s="1">
        <v>45878</v>
      </c>
      <c r="C48" t="s">
        <v>54</v>
      </c>
      <c r="D48" t="s">
        <v>35</v>
      </c>
      <c r="E48" t="s">
        <v>26</v>
      </c>
      <c r="F48" t="s">
        <v>60</v>
      </c>
      <c r="G48" t="s">
        <v>22</v>
      </c>
      <c r="H48">
        <v>2</v>
      </c>
      <c r="I48" s="3">
        <v>1890</v>
      </c>
      <c r="J48" s="4">
        <v>0.15</v>
      </c>
      <c r="K48" s="5">
        <v>3213</v>
      </c>
      <c r="L48" t="s">
        <v>23</v>
      </c>
      <c r="M48">
        <v>4</v>
      </c>
    </row>
    <row r="49" spans="1:13">
      <c r="A49" t="s">
        <v>235</v>
      </c>
      <c r="B49" s="1">
        <v>45765</v>
      </c>
      <c r="C49" t="s">
        <v>54</v>
      </c>
      <c r="D49" t="s">
        <v>35</v>
      </c>
      <c r="E49" t="s">
        <v>48</v>
      </c>
      <c r="F49" t="s">
        <v>49</v>
      </c>
      <c r="G49" t="s">
        <v>2</v>
      </c>
      <c r="H49">
        <v>1</v>
      </c>
      <c r="I49" s="3">
        <v>3990</v>
      </c>
      <c r="J49" s="4">
        <v>0.2</v>
      </c>
      <c r="K49" s="5">
        <v>3192</v>
      </c>
      <c r="L49" t="s">
        <v>51</v>
      </c>
      <c r="M49">
        <v>4</v>
      </c>
    </row>
    <row r="50" spans="1:13">
      <c r="A50" t="s">
        <v>334</v>
      </c>
      <c r="B50" s="1">
        <v>45824</v>
      </c>
      <c r="C50" t="s">
        <v>14</v>
      </c>
      <c r="D50" t="s">
        <v>15</v>
      </c>
      <c r="E50" t="s">
        <v>48</v>
      </c>
      <c r="F50" t="s">
        <v>49</v>
      </c>
      <c r="G50" t="s">
        <v>37</v>
      </c>
      <c r="H50">
        <v>1</v>
      </c>
      <c r="I50" s="3">
        <v>3990</v>
      </c>
      <c r="J50" s="4">
        <v>0.2</v>
      </c>
      <c r="K50" s="5">
        <v>3192</v>
      </c>
      <c r="L50" t="s">
        <v>23</v>
      </c>
      <c r="M50">
        <v>5</v>
      </c>
    </row>
    <row r="51" spans="1:13">
      <c r="A51" t="s">
        <v>359</v>
      </c>
      <c r="B51" s="1">
        <v>45842</v>
      </c>
      <c r="C51" t="s">
        <v>34</v>
      </c>
      <c r="D51" t="s">
        <v>35</v>
      </c>
      <c r="E51" t="s">
        <v>48</v>
      </c>
      <c r="F51" t="s">
        <v>49</v>
      </c>
      <c r="G51" t="s">
        <v>2</v>
      </c>
      <c r="H51">
        <v>1</v>
      </c>
      <c r="I51" s="3">
        <v>3990</v>
      </c>
      <c r="J51" s="4">
        <v>0.2</v>
      </c>
      <c r="K51" s="5">
        <v>3192</v>
      </c>
      <c r="L51" t="s">
        <v>51</v>
      </c>
      <c r="M51">
        <v>4</v>
      </c>
    </row>
    <row r="52" spans="1:13">
      <c r="A52" t="s">
        <v>554</v>
      </c>
      <c r="B52" s="1">
        <v>45965</v>
      </c>
      <c r="C52" t="s">
        <v>31</v>
      </c>
      <c r="D52" t="s">
        <v>15</v>
      </c>
      <c r="E52" t="s">
        <v>48</v>
      </c>
      <c r="F52" t="s">
        <v>49</v>
      </c>
      <c r="G52" t="s">
        <v>22</v>
      </c>
      <c r="H52">
        <v>1</v>
      </c>
      <c r="I52" s="3">
        <v>3990</v>
      </c>
      <c r="J52" s="4">
        <v>0.2</v>
      </c>
      <c r="K52" s="5">
        <v>3192</v>
      </c>
      <c r="L52" t="s">
        <v>38</v>
      </c>
      <c r="M52">
        <v>4</v>
      </c>
    </row>
    <row r="53" spans="1:13">
      <c r="A53" t="s">
        <v>563</v>
      </c>
      <c r="B53" s="1">
        <v>45969</v>
      </c>
      <c r="C53" t="s">
        <v>44</v>
      </c>
      <c r="D53" t="s">
        <v>45</v>
      </c>
      <c r="E53" t="s">
        <v>48</v>
      </c>
      <c r="F53" t="s">
        <v>49</v>
      </c>
      <c r="G53" t="s">
        <v>22</v>
      </c>
      <c r="H53">
        <v>1</v>
      </c>
      <c r="I53" s="3">
        <v>3990</v>
      </c>
      <c r="J53" s="4">
        <v>0.2</v>
      </c>
      <c r="K53" s="5">
        <v>3192</v>
      </c>
      <c r="L53" t="s">
        <v>51</v>
      </c>
      <c r="M53">
        <v>2</v>
      </c>
    </row>
    <row r="54" spans="1:13">
      <c r="A54" t="s">
        <v>598</v>
      </c>
      <c r="B54" s="1">
        <v>45987</v>
      </c>
      <c r="C54" t="s">
        <v>25</v>
      </c>
      <c r="D54" t="s">
        <v>15</v>
      </c>
      <c r="E54" t="s">
        <v>48</v>
      </c>
      <c r="F54" t="s">
        <v>49</v>
      </c>
      <c r="G54" t="s">
        <v>22</v>
      </c>
      <c r="H54">
        <v>1</v>
      </c>
      <c r="I54" s="3">
        <v>3990</v>
      </c>
      <c r="J54" s="4">
        <v>0.2</v>
      </c>
      <c r="K54" s="5">
        <v>3192</v>
      </c>
      <c r="L54" t="s">
        <v>23</v>
      </c>
      <c r="M54">
        <v>5</v>
      </c>
    </row>
    <row r="55" spans="1:13">
      <c r="A55" t="s">
        <v>142</v>
      </c>
      <c r="B55" s="1">
        <v>45708</v>
      </c>
      <c r="C55" t="s">
        <v>54</v>
      </c>
      <c r="D55" t="s">
        <v>35</v>
      </c>
      <c r="E55" t="s">
        <v>48</v>
      </c>
      <c r="F55" t="s">
        <v>79</v>
      </c>
      <c r="G55" t="s">
        <v>2</v>
      </c>
      <c r="H55">
        <v>2</v>
      </c>
      <c r="I55" s="3">
        <v>1790</v>
      </c>
      <c r="J55" s="4">
        <v>0.15</v>
      </c>
      <c r="K55" s="5">
        <v>3043</v>
      </c>
      <c r="L55" t="s">
        <v>51</v>
      </c>
      <c r="M55">
        <v>5</v>
      </c>
    </row>
    <row r="56" spans="1:13">
      <c r="A56" t="s">
        <v>216</v>
      </c>
      <c r="B56" s="1">
        <v>45746</v>
      </c>
      <c r="C56" t="s">
        <v>25</v>
      </c>
      <c r="D56" t="s">
        <v>15</v>
      </c>
      <c r="E56" t="s">
        <v>48</v>
      </c>
      <c r="F56" t="s">
        <v>79</v>
      </c>
      <c r="G56" t="s">
        <v>22</v>
      </c>
      <c r="H56">
        <v>2</v>
      </c>
      <c r="I56" s="3">
        <v>1790</v>
      </c>
      <c r="J56" s="4">
        <v>0.15</v>
      </c>
      <c r="K56" s="5">
        <v>3043</v>
      </c>
      <c r="L56" t="s">
        <v>38</v>
      </c>
      <c r="M56">
        <v>4</v>
      </c>
    </row>
    <row r="57" spans="1:13">
      <c r="A57" t="s">
        <v>618</v>
      </c>
      <c r="B57" s="1">
        <v>45998</v>
      </c>
      <c r="C57" t="s">
        <v>40</v>
      </c>
      <c r="D57" t="s">
        <v>41</v>
      </c>
      <c r="E57" t="s">
        <v>48</v>
      </c>
      <c r="F57" t="s">
        <v>79</v>
      </c>
      <c r="G57" t="s">
        <v>2</v>
      </c>
      <c r="H57">
        <v>2</v>
      </c>
      <c r="I57" s="3">
        <v>1790</v>
      </c>
      <c r="J57" s="4">
        <v>0.15</v>
      </c>
      <c r="K57" s="5">
        <v>3043</v>
      </c>
      <c r="L57" t="s">
        <v>23</v>
      </c>
      <c r="M57">
        <v>5</v>
      </c>
    </row>
    <row r="58" spans="1:13">
      <c r="A58" t="s">
        <v>64</v>
      </c>
      <c r="B58" s="1">
        <v>45668</v>
      </c>
      <c r="C58" t="s">
        <v>54</v>
      </c>
      <c r="D58" t="s">
        <v>35</v>
      </c>
      <c r="E58" t="s">
        <v>48</v>
      </c>
      <c r="F58" t="s">
        <v>65</v>
      </c>
      <c r="G58" t="s">
        <v>2</v>
      </c>
      <c r="H58">
        <v>1</v>
      </c>
      <c r="I58" s="3">
        <v>2590</v>
      </c>
      <c r="J58" s="4">
        <v>0</v>
      </c>
      <c r="K58" s="5">
        <v>2590</v>
      </c>
      <c r="L58" t="s">
        <v>38</v>
      </c>
      <c r="M58">
        <v>4</v>
      </c>
    </row>
    <row r="59" spans="1:13">
      <c r="A59" t="s">
        <v>176</v>
      </c>
      <c r="B59" s="1">
        <v>45724</v>
      </c>
      <c r="C59" t="s">
        <v>31</v>
      </c>
      <c r="D59" t="s">
        <v>15</v>
      </c>
      <c r="E59" t="s">
        <v>48</v>
      </c>
      <c r="F59" t="s">
        <v>65</v>
      </c>
      <c r="G59" t="s">
        <v>37</v>
      </c>
      <c r="H59">
        <v>1</v>
      </c>
      <c r="I59" s="3">
        <v>2590</v>
      </c>
      <c r="J59" s="4">
        <v>0</v>
      </c>
      <c r="K59" s="5">
        <v>2590</v>
      </c>
      <c r="L59" t="s">
        <v>51</v>
      </c>
      <c r="M59">
        <v>4</v>
      </c>
    </row>
    <row r="60" spans="1:13">
      <c r="A60" t="s">
        <v>179</v>
      </c>
      <c r="B60" s="1">
        <v>45725</v>
      </c>
      <c r="C60" t="s">
        <v>14</v>
      </c>
      <c r="D60" t="s">
        <v>15</v>
      </c>
      <c r="E60" t="s">
        <v>48</v>
      </c>
      <c r="F60" t="s">
        <v>65</v>
      </c>
      <c r="G60" t="s">
        <v>37</v>
      </c>
      <c r="H60">
        <v>1</v>
      </c>
      <c r="I60" s="3">
        <v>2590</v>
      </c>
      <c r="J60" s="4">
        <v>0</v>
      </c>
      <c r="K60" s="5">
        <v>2590</v>
      </c>
      <c r="L60" t="s">
        <v>51</v>
      </c>
      <c r="M60">
        <v>5</v>
      </c>
    </row>
    <row r="61" spans="1:13">
      <c r="A61" t="s">
        <v>209</v>
      </c>
      <c r="B61" s="1">
        <v>45743</v>
      </c>
      <c r="C61" t="s">
        <v>40</v>
      </c>
      <c r="D61" t="s">
        <v>41</v>
      </c>
      <c r="E61" t="s">
        <v>48</v>
      </c>
      <c r="F61" t="s">
        <v>65</v>
      </c>
      <c r="G61" t="s">
        <v>37</v>
      </c>
      <c r="H61">
        <v>1</v>
      </c>
      <c r="I61" s="3">
        <v>2590</v>
      </c>
      <c r="J61" s="4">
        <v>0</v>
      </c>
      <c r="K61" s="5">
        <v>2590</v>
      </c>
      <c r="L61" t="s">
        <v>18</v>
      </c>
      <c r="M61">
        <v>4</v>
      </c>
    </row>
    <row r="62" spans="1:13">
      <c r="A62" t="s">
        <v>217</v>
      </c>
      <c r="B62" s="1">
        <v>45747</v>
      </c>
      <c r="C62" t="s">
        <v>25</v>
      </c>
      <c r="D62" t="s">
        <v>15</v>
      </c>
      <c r="E62" t="s">
        <v>48</v>
      </c>
      <c r="F62" t="s">
        <v>65</v>
      </c>
      <c r="G62" t="s">
        <v>2</v>
      </c>
      <c r="H62">
        <v>1</v>
      </c>
      <c r="I62" s="3">
        <v>2590</v>
      </c>
      <c r="J62" s="4">
        <v>0</v>
      </c>
      <c r="K62" s="5">
        <v>2590</v>
      </c>
      <c r="L62" t="s">
        <v>23</v>
      </c>
      <c r="M62">
        <v>3</v>
      </c>
    </row>
    <row r="63" spans="1:13">
      <c r="A63" t="s">
        <v>245</v>
      </c>
      <c r="B63" s="1">
        <v>45770</v>
      </c>
      <c r="C63" t="s">
        <v>54</v>
      </c>
      <c r="D63" t="s">
        <v>35</v>
      </c>
      <c r="E63" t="s">
        <v>48</v>
      </c>
      <c r="F63" t="s">
        <v>65</v>
      </c>
      <c r="G63" t="s">
        <v>2</v>
      </c>
      <c r="H63">
        <v>1</v>
      </c>
      <c r="I63" s="3">
        <v>2590</v>
      </c>
      <c r="J63" s="4">
        <v>0</v>
      </c>
      <c r="K63" s="5">
        <v>2590</v>
      </c>
      <c r="L63" t="s">
        <v>23</v>
      </c>
    </row>
    <row r="64" spans="1:13">
      <c r="A64" t="s">
        <v>258</v>
      </c>
      <c r="B64" s="1">
        <v>45778</v>
      </c>
      <c r="C64" t="s">
        <v>40</v>
      </c>
      <c r="D64" t="s">
        <v>41</v>
      </c>
      <c r="E64" t="s">
        <v>48</v>
      </c>
      <c r="F64" t="s">
        <v>65</v>
      </c>
      <c r="G64" t="s">
        <v>37</v>
      </c>
      <c r="H64">
        <v>1</v>
      </c>
      <c r="I64" s="3">
        <v>2590</v>
      </c>
      <c r="J64" s="4">
        <v>0</v>
      </c>
      <c r="K64" s="5">
        <v>2590</v>
      </c>
      <c r="L64" t="s">
        <v>23</v>
      </c>
    </row>
    <row r="65" spans="1:13">
      <c r="A65" t="s">
        <v>323</v>
      </c>
      <c r="B65" s="1">
        <v>45817</v>
      </c>
      <c r="C65" t="s">
        <v>25</v>
      </c>
      <c r="D65" t="s">
        <v>15</v>
      </c>
      <c r="E65" t="s">
        <v>48</v>
      </c>
      <c r="F65" t="s">
        <v>65</v>
      </c>
      <c r="G65" t="s">
        <v>2</v>
      </c>
      <c r="H65">
        <v>1</v>
      </c>
      <c r="I65" s="3">
        <v>2590</v>
      </c>
      <c r="J65" s="4">
        <v>0</v>
      </c>
      <c r="K65" s="5">
        <v>2590</v>
      </c>
      <c r="L65" t="s">
        <v>23</v>
      </c>
      <c r="M65">
        <v>4</v>
      </c>
    </row>
    <row r="66" spans="1:13">
      <c r="A66" t="s">
        <v>331</v>
      </c>
      <c r="B66" s="1">
        <v>45822</v>
      </c>
      <c r="C66" t="s">
        <v>25</v>
      </c>
      <c r="D66" t="s">
        <v>15</v>
      </c>
      <c r="E66" t="s">
        <v>48</v>
      </c>
      <c r="F66" t="s">
        <v>65</v>
      </c>
      <c r="G66" t="s">
        <v>22</v>
      </c>
      <c r="H66">
        <v>1</v>
      </c>
      <c r="I66" s="3">
        <v>2590</v>
      </c>
      <c r="J66" s="4">
        <v>0</v>
      </c>
      <c r="K66" s="5">
        <v>2590</v>
      </c>
      <c r="L66" t="s">
        <v>23</v>
      </c>
      <c r="M66">
        <v>5</v>
      </c>
    </row>
    <row r="67" spans="1:13">
      <c r="A67" t="s">
        <v>460</v>
      </c>
      <c r="B67" s="1">
        <v>45913</v>
      </c>
      <c r="C67" t="s">
        <v>34</v>
      </c>
      <c r="D67" t="s">
        <v>35</v>
      </c>
      <c r="E67" t="s">
        <v>48</v>
      </c>
      <c r="F67" t="s">
        <v>65</v>
      </c>
      <c r="G67" t="s">
        <v>22</v>
      </c>
      <c r="H67">
        <v>1</v>
      </c>
      <c r="I67" s="3">
        <v>2590</v>
      </c>
      <c r="J67" s="4">
        <v>0</v>
      </c>
      <c r="K67" s="5">
        <v>2590</v>
      </c>
      <c r="L67" t="s">
        <v>23</v>
      </c>
      <c r="M67">
        <v>4</v>
      </c>
    </row>
    <row r="68" spans="1:13">
      <c r="A68" t="s">
        <v>472</v>
      </c>
      <c r="B68" s="1">
        <v>45920</v>
      </c>
      <c r="C68" t="s">
        <v>54</v>
      </c>
      <c r="D68" t="s">
        <v>35</v>
      </c>
      <c r="E68" t="s">
        <v>48</v>
      </c>
      <c r="F68" t="s">
        <v>65</v>
      </c>
      <c r="G68" t="s">
        <v>2</v>
      </c>
      <c r="H68">
        <v>1</v>
      </c>
      <c r="I68" s="3">
        <v>2590</v>
      </c>
      <c r="J68" s="4">
        <v>0</v>
      </c>
      <c r="K68" s="5">
        <v>2590</v>
      </c>
      <c r="L68" t="s">
        <v>23</v>
      </c>
      <c r="M68">
        <v>5</v>
      </c>
    </row>
    <row r="69" spans="1:13">
      <c r="A69" t="s">
        <v>535</v>
      </c>
      <c r="B69" s="1">
        <v>45955</v>
      </c>
      <c r="C69" t="s">
        <v>57</v>
      </c>
      <c r="D69" t="s">
        <v>15</v>
      </c>
      <c r="E69" t="s">
        <v>48</v>
      </c>
      <c r="F69" t="s">
        <v>65</v>
      </c>
      <c r="G69" t="s">
        <v>37</v>
      </c>
      <c r="H69">
        <v>1</v>
      </c>
      <c r="I69" s="3">
        <v>2590</v>
      </c>
      <c r="J69" s="4">
        <v>0</v>
      </c>
      <c r="K69" s="5">
        <v>2590</v>
      </c>
      <c r="L69" t="s">
        <v>23</v>
      </c>
      <c r="M69">
        <v>5</v>
      </c>
    </row>
    <row r="70" spans="1:13">
      <c r="A70" t="s">
        <v>538</v>
      </c>
      <c r="B70" s="1">
        <v>45956</v>
      </c>
      <c r="C70" t="s">
        <v>54</v>
      </c>
      <c r="D70" t="s">
        <v>35</v>
      </c>
      <c r="E70" t="s">
        <v>48</v>
      </c>
      <c r="F70" t="s">
        <v>65</v>
      </c>
      <c r="G70" t="s">
        <v>37</v>
      </c>
      <c r="H70">
        <v>1</v>
      </c>
      <c r="I70" s="3">
        <v>2590</v>
      </c>
      <c r="J70" s="4">
        <v>0</v>
      </c>
      <c r="K70" s="5">
        <v>2590</v>
      </c>
      <c r="L70" t="s">
        <v>18</v>
      </c>
      <c r="M70">
        <v>4</v>
      </c>
    </row>
    <row r="71" spans="1:13">
      <c r="A71" t="s">
        <v>595</v>
      </c>
      <c r="B71" s="1">
        <v>45985</v>
      </c>
      <c r="C71" t="s">
        <v>14</v>
      </c>
      <c r="D71" t="s">
        <v>15</v>
      </c>
      <c r="E71" t="s">
        <v>48</v>
      </c>
      <c r="F71" t="s">
        <v>65</v>
      </c>
      <c r="G71" t="s">
        <v>2</v>
      </c>
      <c r="H71">
        <v>1</v>
      </c>
      <c r="I71" s="3">
        <v>2590</v>
      </c>
      <c r="J71" s="4">
        <v>0</v>
      </c>
      <c r="K71" s="5">
        <v>2590</v>
      </c>
      <c r="L71" t="s">
        <v>23</v>
      </c>
      <c r="M71">
        <v>4</v>
      </c>
    </row>
    <row r="72" spans="1:13">
      <c r="A72" t="s">
        <v>632</v>
      </c>
      <c r="B72" s="1">
        <v>46007</v>
      </c>
      <c r="C72" t="s">
        <v>14</v>
      </c>
      <c r="D72" t="s">
        <v>15</v>
      </c>
      <c r="E72" t="s">
        <v>48</v>
      </c>
      <c r="F72" t="s">
        <v>65</v>
      </c>
      <c r="G72" t="s">
        <v>37</v>
      </c>
      <c r="H72">
        <v>1</v>
      </c>
      <c r="I72" s="3">
        <v>2590</v>
      </c>
      <c r="J72" s="4">
        <v>0</v>
      </c>
      <c r="K72" s="5">
        <v>2590</v>
      </c>
      <c r="L72" t="s">
        <v>51</v>
      </c>
      <c r="M72">
        <v>4</v>
      </c>
    </row>
    <row r="73" spans="1:13">
      <c r="A73" t="s">
        <v>658</v>
      </c>
      <c r="B73" s="1">
        <v>46021</v>
      </c>
      <c r="C73" t="s">
        <v>44</v>
      </c>
      <c r="D73" t="s">
        <v>45</v>
      </c>
      <c r="E73" t="s">
        <v>48</v>
      </c>
      <c r="F73" t="s">
        <v>65</v>
      </c>
      <c r="G73" t="s">
        <v>2</v>
      </c>
      <c r="H73">
        <v>1</v>
      </c>
      <c r="I73" s="3">
        <v>2590</v>
      </c>
      <c r="J73" s="4">
        <v>0</v>
      </c>
      <c r="K73" s="5">
        <v>2590</v>
      </c>
      <c r="L73" t="s">
        <v>38</v>
      </c>
      <c r="M73">
        <v>3</v>
      </c>
    </row>
    <row r="74" spans="1:13">
      <c r="A74" t="s">
        <v>66</v>
      </c>
      <c r="B74" s="1">
        <v>45668</v>
      </c>
      <c r="C74" t="s">
        <v>14</v>
      </c>
      <c r="D74" t="s">
        <v>15</v>
      </c>
      <c r="E74" t="s">
        <v>62</v>
      </c>
      <c r="F74" t="s">
        <v>63</v>
      </c>
      <c r="G74" t="s">
        <v>2</v>
      </c>
      <c r="H74">
        <v>1</v>
      </c>
      <c r="I74" s="3">
        <v>2490</v>
      </c>
      <c r="J74" s="4">
        <v>0</v>
      </c>
      <c r="K74" s="5">
        <v>2490</v>
      </c>
      <c r="L74" t="s">
        <v>23</v>
      </c>
      <c r="M74">
        <v>5</v>
      </c>
    </row>
    <row r="75" spans="1:13">
      <c r="A75" t="s">
        <v>83</v>
      </c>
      <c r="B75" s="1">
        <v>45680</v>
      </c>
      <c r="C75" t="s">
        <v>34</v>
      </c>
      <c r="D75" t="s">
        <v>35</v>
      </c>
      <c r="E75" t="s">
        <v>62</v>
      </c>
      <c r="F75" t="s">
        <v>63</v>
      </c>
      <c r="G75" t="s">
        <v>2</v>
      </c>
      <c r="H75">
        <v>1</v>
      </c>
      <c r="I75" s="3">
        <v>2490</v>
      </c>
      <c r="J75" s="4">
        <v>0</v>
      </c>
      <c r="K75" s="5">
        <v>2490</v>
      </c>
      <c r="L75" t="s">
        <v>23</v>
      </c>
      <c r="M75">
        <v>5</v>
      </c>
    </row>
    <row r="76" spans="1:13">
      <c r="A76" t="s">
        <v>156</v>
      </c>
      <c r="B76" s="1">
        <v>45715</v>
      </c>
      <c r="C76" t="s">
        <v>57</v>
      </c>
      <c r="D76" t="s">
        <v>15</v>
      </c>
      <c r="E76" t="s">
        <v>62</v>
      </c>
      <c r="F76" t="s">
        <v>63</v>
      </c>
      <c r="G76" t="s">
        <v>22</v>
      </c>
      <c r="H76">
        <v>1</v>
      </c>
      <c r="I76" s="3">
        <v>2490</v>
      </c>
      <c r="J76" s="4">
        <v>0</v>
      </c>
      <c r="K76" s="5">
        <v>2490</v>
      </c>
      <c r="L76" t="s">
        <v>18</v>
      </c>
      <c r="M76">
        <v>5</v>
      </c>
    </row>
    <row r="77" spans="1:13">
      <c r="A77" t="s">
        <v>166</v>
      </c>
      <c r="B77" s="1">
        <v>45719</v>
      </c>
      <c r="C77" t="s">
        <v>40</v>
      </c>
      <c r="D77" t="s">
        <v>41</v>
      </c>
      <c r="E77" t="s">
        <v>62</v>
      </c>
      <c r="F77" t="s">
        <v>63</v>
      </c>
      <c r="G77" t="s">
        <v>22</v>
      </c>
      <c r="H77">
        <v>1</v>
      </c>
      <c r="I77" s="3">
        <v>2490</v>
      </c>
      <c r="J77" s="4">
        <v>0</v>
      </c>
      <c r="K77" s="5">
        <v>2490</v>
      </c>
      <c r="L77" t="s">
        <v>51</v>
      </c>
      <c r="M77">
        <v>4</v>
      </c>
    </row>
    <row r="78" spans="1:13">
      <c r="A78" t="s">
        <v>172</v>
      </c>
      <c r="B78" s="1">
        <v>45723</v>
      </c>
      <c r="C78" t="s">
        <v>14</v>
      </c>
      <c r="D78" t="s">
        <v>15</v>
      </c>
      <c r="E78" t="s">
        <v>62</v>
      </c>
      <c r="F78" t="s">
        <v>63</v>
      </c>
      <c r="G78" t="s">
        <v>2</v>
      </c>
      <c r="H78">
        <v>1</v>
      </c>
      <c r="I78" s="3">
        <v>2490</v>
      </c>
      <c r="J78" s="4">
        <v>0</v>
      </c>
      <c r="K78" s="5">
        <v>2490</v>
      </c>
      <c r="L78" t="s">
        <v>23</v>
      </c>
      <c r="M78">
        <v>4</v>
      </c>
    </row>
    <row r="79" spans="1:13">
      <c r="A79" t="s">
        <v>198</v>
      </c>
      <c r="B79" s="1">
        <v>45735</v>
      </c>
      <c r="C79" t="s">
        <v>34</v>
      </c>
      <c r="D79" t="s">
        <v>35</v>
      </c>
      <c r="E79" t="s">
        <v>62</v>
      </c>
      <c r="F79" t="s">
        <v>63</v>
      </c>
      <c r="G79" t="s">
        <v>22</v>
      </c>
      <c r="H79">
        <v>1</v>
      </c>
      <c r="I79" s="3">
        <v>2490</v>
      </c>
      <c r="J79" s="4">
        <v>0</v>
      </c>
      <c r="K79" s="5">
        <v>2490</v>
      </c>
      <c r="L79" t="s">
        <v>23</v>
      </c>
      <c r="M79">
        <v>4</v>
      </c>
    </row>
    <row r="80" spans="1:13">
      <c r="A80" t="s">
        <v>272</v>
      </c>
      <c r="B80" s="1">
        <v>45786</v>
      </c>
      <c r="C80" t="s">
        <v>40</v>
      </c>
      <c r="D80" t="s">
        <v>41</v>
      </c>
      <c r="E80" t="s">
        <v>62</v>
      </c>
      <c r="F80" t="s">
        <v>63</v>
      </c>
      <c r="G80" t="s">
        <v>22</v>
      </c>
      <c r="H80">
        <v>1</v>
      </c>
      <c r="I80" s="3">
        <v>2490</v>
      </c>
      <c r="J80" s="4">
        <v>0</v>
      </c>
      <c r="K80" s="5">
        <v>2490</v>
      </c>
      <c r="L80" t="s">
        <v>23</v>
      </c>
      <c r="M80">
        <v>5</v>
      </c>
    </row>
    <row r="81" spans="1:13">
      <c r="A81" t="s">
        <v>301</v>
      </c>
      <c r="B81" s="1">
        <v>45807</v>
      </c>
      <c r="C81" t="s">
        <v>57</v>
      </c>
      <c r="D81" t="s">
        <v>15</v>
      </c>
      <c r="E81" t="s">
        <v>62</v>
      </c>
      <c r="F81" t="s">
        <v>63</v>
      </c>
      <c r="G81" t="s">
        <v>37</v>
      </c>
      <c r="H81">
        <v>1</v>
      </c>
      <c r="I81" s="3">
        <v>2490</v>
      </c>
      <c r="J81" s="4">
        <v>0</v>
      </c>
      <c r="K81" s="5">
        <v>2490</v>
      </c>
      <c r="L81" t="s">
        <v>23</v>
      </c>
      <c r="M81">
        <v>5</v>
      </c>
    </row>
    <row r="82" spans="1:13">
      <c r="A82" t="s">
        <v>329</v>
      </c>
      <c r="B82" s="1">
        <v>45822</v>
      </c>
      <c r="C82" t="s">
        <v>25</v>
      </c>
      <c r="D82" t="s">
        <v>15</v>
      </c>
      <c r="E82" t="s">
        <v>62</v>
      </c>
      <c r="F82" t="s">
        <v>63</v>
      </c>
      <c r="G82" t="s">
        <v>22</v>
      </c>
      <c r="H82">
        <v>1</v>
      </c>
      <c r="I82" s="3">
        <v>2490</v>
      </c>
      <c r="J82" s="4">
        <v>0</v>
      </c>
      <c r="K82" s="5">
        <v>2490</v>
      </c>
      <c r="L82" t="s">
        <v>23</v>
      </c>
      <c r="M82">
        <v>3</v>
      </c>
    </row>
    <row r="83" spans="1:13">
      <c r="A83" t="s">
        <v>435</v>
      </c>
      <c r="B83" s="1">
        <v>45900</v>
      </c>
      <c r="C83" t="s">
        <v>25</v>
      </c>
      <c r="D83" t="s">
        <v>15</v>
      </c>
      <c r="E83" t="s">
        <v>62</v>
      </c>
      <c r="F83" t="s">
        <v>63</v>
      </c>
      <c r="G83" t="s">
        <v>22</v>
      </c>
      <c r="H83">
        <v>1</v>
      </c>
      <c r="I83" s="3">
        <v>2490</v>
      </c>
      <c r="J83" s="4">
        <v>0</v>
      </c>
      <c r="K83" s="5">
        <v>2490</v>
      </c>
      <c r="L83" t="s">
        <v>18</v>
      </c>
      <c r="M83">
        <v>4</v>
      </c>
    </row>
    <row r="84" spans="1:13">
      <c r="A84" t="s">
        <v>445</v>
      </c>
      <c r="B84" s="1">
        <v>45906</v>
      </c>
      <c r="C84" t="s">
        <v>54</v>
      </c>
      <c r="D84" t="s">
        <v>35</v>
      </c>
      <c r="E84" t="s">
        <v>62</v>
      </c>
      <c r="F84" t="s">
        <v>63</v>
      </c>
      <c r="G84" t="s">
        <v>2</v>
      </c>
      <c r="H84">
        <v>1</v>
      </c>
      <c r="I84" s="3">
        <v>2490</v>
      </c>
      <c r="J84" s="4">
        <v>0</v>
      </c>
      <c r="K84" s="5">
        <v>2490</v>
      </c>
      <c r="L84" t="s">
        <v>23</v>
      </c>
      <c r="M84">
        <v>3</v>
      </c>
    </row>
    <row r="85" spans="1:13">
      <c r="A85" t="s">
        <v>457</v>
      </c>
      <c r="B85" s="1">
        <v>45911</v>
      </c>
      <c r="C85" t="s">
        <v>40</v>
      </c>
      <c r="D85" t="s">
        <v>41</v>
      </c>
      <c r="E85" t="s">
        <v>62</v>
      </c>
      <c r="F85" t="s">
        <v>63</v>
      </c>
      <c r="G85" t="s">
        <v>2</v>
      </c>
      <c r="H85">
        <v>1</v>
      </c>
      <c r="I85" s="3">
        <v>2490</v>
      </c>
      <c r="J85" s="4">
        <v>0</v>
      </c>
      <c r="K85" s="5">
        <v>2490</v>
      </c>
      <c r="L85" t="s">
        <v>23</v>
      </c>
      <c r="M85">
        <v>5</v>
      </c>
    </row>
    <row r="86" spans="1:13">
      <c r="A86" t="s">
        <v>459</v>
      </c>
      <c r="B86" s="1">
        <v>45913</v>
      </c>
      <c r="C86" t="s">
        <v>31</v>
      </c>
      <c r="D86" t="s">
        <v>15</v>
      </c>
      <c r="E86" t="s">
        <v>62</v>
      </c>
      <c r="F86" t="s">
        <v>63</v>
      </c>
      <c r="G86" t="s">
        <v>2</v>
      </c>
      <c r="H86">
        <v>1</v>
      </c>
      <c r="I86" s="3">
        <v>2490</v>
      </c>
      <c r="J86" s="4">
        <v>0</v>
      </c>
      <c r="K86" s="5">
        <v>2490</v>
      </c>
      <c r="L86" t="s">
        <v>51</v>
      </c>
      <c r="M86">
        <v>5</v>
      </c>
    </row>
    <row r="87" spans="1:13">
      <c r="A87" t="s">
        <v>526</v>
      </c>
      <c r="B87" s="1">
        <v>45948</v>
      </c>
      <c r="C87" t="s">
        <v>31</v>
      </c>
      <c r="D87" t="s">
        <v>15</v>
      </c>
      <c r="E87" t="s">
        <v>62</v>
      </c>
      <c r="F87" t="s">
        <v>63</v>
      </c>
      <c r="G87" t="s">
        <v>22</v>
      </c>
      <c r="H87">
        <v>1</v>
      </c>
      <c r="I87" s="3">
        <v>2490</v>
      </c>
      <c r="J87" s="4">
        <v>0</v>
      </c>
      <c r="K87" s="5">
        <v>2490</v>
      </c>
      <c r="L87" t="s">
        <v>38</v>
      </c>
      <c r="M87">
        <v>4</v>
      </c>
    </row>
    <row r="88" spans="1:13">
      <c r="A88" t="s">
        <v>542</v>
      </c>
      <c r="B88" s="1">
        <v>45957</v>
      </c>
      <c r="C88" t="s">
        <v>40</v>
      </c>
      <c r="D88" t="s">
        <v>41</v>
      </c>
      <c r="E88" t="s">
        <v>62</v>
      </c>
      <c r="F88" t="s">
        <v>63</v>
      </c>
      <c r="G88" t="s">
        <v>22</v>
      </c>
      <c r="H88">
        <v>1</v>
      </c>
      <c r="I88" s="3">
        <v>2490</v>
      </c>
      <c r="J88" s="4">
        <v>0</v>
      </c>
      <c r="K88" s="5">
        <v>2490</v>
      </c>
      <c r="L88" t="s">
        <v>38</v>
      </c>
      <c r="M88">
        <v>5</v>
      </c>
    </row>
    <row r="89" spans="1:13">
      <c r="A89" t="s">
        <v>568</v>
      </c>
      <c r="B89" s="1">
        <v>45970</v>
      </c>
      <c r="C89" t="s">
        <v>44</v>
      </c>
      <c r="D89" t="s">
        <v>45</v>
      </c>
      <c r="E89" t="s">
        <v>62</v>
      </c>
      <c r="F89" t="s">
        <v>63</v>
      </c>
      <c r="G89" t="s">
        <v>2</v>
      </c>
      <c r="H89">
        <v>1</v>
      </c>
      <c r="I89" s="3">
        <v>2490</v>
      </c>
      <c r="J89" s="4">
        <v>0</v>
      </c>
      <c r="K89" s="5">
        <v>2490</v>
      </c>
      <c r="L89" t="s">
        <v>23</v>
      </c>
      <c r="M89">
        <v>5</v>
      </c>
    </row>
    <row r="90" spans="1:13">
      <c r="A90" t="s">
        <v>573</v>
      </c>
      <c r="B90" s="1">
        <v>45972</v>
      </c>
      <c r="C90" t="s">
        <v>44</v>
      </c>
      <c r="D90" t="s">
        <v>45</v>
      </c>
      <c r="E90" t="s">
        <v>62</v>
      </c>
      <c r="F90" t="s">
        <v>63</v>
      </c>
      <c r="G90" t="s">
        <v>2</v>
      </c>
      <c r="H90">
        <v>1</v>
      </c>
      <c r="I90" s="3">
        <v>2490</v>
      </c>
      <c r="J90" s="4">
        <v>0</v>
      </c>
      <c r="K90" s="5">
        <v>2490</v>
      </c>
      <c r="L90" t="s">
        <v>23</v>
      </c>
      <c r="M90">
        <v>5</v>
      </c>
    </row>
    <row r="91" spans="1:13">
      <c r="A91" t="s">
        <v>575</v>
      </c>
      <c r="B91" s="1">
        <v>45972</v>
      </c>
      <c r="C91" t="s">
        <v>31</v>
      </c>
      <c r="D91" t="s">
        <v>15</v>
      </c>
      <c r="E91" t="s">
        <v>62</v>
      </c>
      <c r="F91" t="s">
        <v>63</v>
      </c>
      <c r="G91" t="s">
        <v>37</v>
      </c>
      <c r="H91">
        <v>1</v>
      </c>
      <c r="I91" s="3">
        <v>2490</v>
      </c>
      <c r="J91" s="4">
        <v>0</v>
      </c>
      <c r="K91" s="5">
        <v>2490</v>
      </c>
      <c r="L91" t="s">
        <v>23</v>
      </c>
      <c r="M91">
        <v>4</v>
      </c>
    </row>
    <row r="92" spans="1:13">
      <c r="A92" t="s">
        <v>613</v>
      </c>
      <c r="B92" s="1">
        <v>45996</v>
      </c>
      <c r="C92" t="s">
        <v>14</v>
      </c>
      <c r="D92" t="s">
        <v>15</v>
      </c>
      <c r="E92" t="s">
        <v>62</v>
      </c>
      <c r="F92" t="s">
        <v>63</v>
      </c>
      <c r="G92" t="s">
        <v>2</v>
      </c>
      <c r="H92">
        <v>1</v>
      </c>
      <c r="I92" s="3">
        <v>2490</v>
      </c>
      <c r="J92" s="4">
        <v>0</v>
      </c>
      <c r="K92" s="5">
        <v>2490</v>
      </c>
      <c r="L92" t="s">
        <v>23</v>
      </c>
      <c r="M92">
        <v>4</v>
      </c>
    </row>
    <row r="93" spans="1:13">
      <c r="A93" t="s">
        <v>96</v>
      </c>
      <c r="B93" s="1">
        <v>45686</v>
      </c>
      <c r="C93" t="s">
        <v>57</v>
      </c>
      <c r="D93" t="s">
        <v>15</v>
      </c>
      <c r="E93" t="s">
        <v>48</v>
      </c>
      <c r="F93" t="s">
        <v>65</v>
      </c>
      <c r="G93" t="s">
        <v>37</v>
      </c>
      <c r="H93">
        <v>1</v>
      </c>
      <c r="I93" s="3">
        <v>2590</v>
      </c>
      <c r="J93" s="4">
        <v>0.05</v>
      </c>
      <c r="K93" s="5">
        <v>2460.5</v>
      </c>
      <c r="L93" t="s">
        <v>51</v>
      </c>
      <c r="M93">
        <v>4</v>
      </c>
    </row>
    <row r="94" spans="1:13">
      <c r="A94" t="s">
        <v>106</v>
      </c>
      <c r="B94" s="1">
        <v>45691</v>
      </c>
      <c r="C94" t="s">
        <v>57</v>
      </c>
      <c r="D94" t="s">
        <v>15</v>
      </c>
      <c r="E94" t="s">
        <v>48</v>
      </c>
      <c r="F94" t="s">
        <v>65</v>
      </c>
      <c r="G94" t="s">
        <v>2</v>
      </c>
      <c r="H94">
        <v>1</v>
      </c>
      <c r="I94" s="3">
        <v>2590</v>
      </c>
      <c r="J94" s="4">
        <v>0.05</v>
      </c>
      <c r="K94" s="5">
        <v>2460.5</v>
      </c>
      <c r="L94" t="s">
        <v>38</v>
      </c>
      <c r="M94">
        <v>5</v>
      </c>
    </row>
    <row r="95" spans="1:13">
      <c r="A95" t="s">
        <v>149</v>
      </c>
      <c r="B95" s="1">
        <v>45712</v>
      </c>
      <c r="C95" t="s">
        <v>57</v>
      </c>
      <c r="D95" t="s">
        <v>15</v>
      </c>
      <c r="E95" t="s">
        <v>48</v>
      </c>
      <c r="F95" t="s">
        <v>65</v>
      </c>
      <c r="G95" t="s">
        <v>2</v>
      </c>
      <c r="H95">
        <v>1</v>
      </c>
      <c r="I95" s="3">
        <v>2590</v>
      </c>
      <c r="J95" s="4">
        <v>0.05</v>
      </c>
      <c r="K95" s="5">
        <v>2460.5</v>
      </c>
      <c r="L95" t="s">
        <v>23</v>
      </c>
      <c r="M95">
        <v>5</v>
      </c>
    </row>
    <row r="96" spans="1:13">
      <c r="A96" t="s">
        <v>236</v>
      </c>
      <c r="B96" s="1">
        <v>45766</v>
      </c>
      <c r="C96" t="s">
        <v>31</v>
      </c>
      <c r="D96" t="s">
        <v>15</v>
      </c>
      <c r="E96" t="s">
        <v>48</v>
      </c>
      <c r="F96" t="s">
        <v>65</v>
      </c>
      <c r="G96" t="s">
        <v>37</v>
      </c>
      <c r="H96">
        <v>1</v>
      </c>
      <c r="I96" s="3">
        <v>2590</v>
      </c>
      <c r="J96" s="4">
        <v>0.05</v>
      </c>
      <c r="K96" s="5">
        <v>2460.5</v>
      </c>
      <c r="L96" t="s">
        <v>23</v>
      </c>
      <c r="M96">
        <v>5</v>
      </c>
    </row>
    <row r="97" spans="1:13">
      <c r="A97" t="s">
        <v>391</v>
      </c>
      <c r="B97" s="1">
        <v>45863</v>
      </c>
      <c r="C97" t="s">
        <v>14</v>
      </c>
      <c r="D97" t="s">
        <v>15</v>
      </c>
      <c r="E97" t="s">
        <v>48</v>
      </c>
      <c r="F97" t="s">
        <v>65</v>
      </c>
      <c r="G97" t="s">
        <v>22</v>
      </c>
      <c r="H97">
        <v>1</v>
      </c>
      <c r="I97" s="3">
        <v>2590</v>
      </c>
      <c r="J97" s="4">
        <v>0.05</v>
      </c>
      <c r="K97" s="5">
        <v>2460.5</v>
      </c>
      <c r="L97" t="s">
        <v>23</v>
      </c>
      <c r="M97">
        <v>4</v>
      </c>
    </row>
    <row r="98" spans="1:13">
      <c r="A98" t="s">
        <v>505</v>
      </c>
      <c r="B98" s="1">
        <v>45937</v>
      </c>
      <c r="C98" t="s">
        <v>57</v>
      </c>
      <c r="D98" t="s">
        <v>15</v>
      </c>
      <c r="E98" t="s">
        <v>48</v>
      </c>
      <c r="F98" t="s">
        <v>65</v>
      </c>
      <c r="G98" t="s">
        <v>2</v>
      </c>
      <c r="H98">
        <v>1</v>
      </c>
      <c r="I98" s="3">
        <v>2590</v>
      </c>
      <c r="J98" s="4">
        <v>0.05</v>
      </c>
      <c r="K98" s="5">
        <v>2460.5</v>
      </c>
      <c r="L98" t="s">
        <v>23</v>
      </c>
      <c r="M98">
        <v>5</v>
      </c>
    </row>
    <row r="99" spans="1:13">
      <c r="A99" t="s">
        <v>231</v>
      </c>
      <c r="B99" s="1">
        <v>45761</v>
      </c>
      <c r="C99" t="s">
        <v>25</v>
      </c>
      <c r="D99" t="s">
        <v>15</v>
      </c>
      <c r="E99" t="s">
        <v>62</v>
      </c>
      <c r="F99" t="s">
        <v>100</v>
      </c>
      <c r="G99" t="s">
        <v>2</v>
      </c>
      <c r="H99">
        <v>2</v>
      </c>
      <c r="I99" s="3">
        <v>1190</v>
      </c>
      <c r="J99" s="4">
        <v>0</v>
      </c>
      <c r="K99" s="5">
        <v>2380</v>
      </c>
      <c r="L99" t="s">
        <v>23</v>
      </c>
      <c r="M99">
        <v>4</v>
      </c>
    </row>
    <row r="100" spans="1:13">
      <c r="A100" t="s">
        <v>596</v>
      </c>
      <c r="B100" s="1">
        <v>45985</v>
      </c>
      <c r="C100" t="s">
        <v>14</v>
      </c>
      <c r="D100" t="s">
        <v>15</v>
      </c>
      <c r="E100" t="s">
        <v>62</v>
      </c>
      <c r="F100" t="s">
        <v>100</v>
      </c>
      <c r="G100" t="s">
        <v>2</v>
      </c>
      <c r="H100">
        <v>2</v>
      </c>
      <c r="I100" s="3">
        <v>1190</v>
      </c>
      <c r="J100" s="4">
        <v>0</v>
      </c>
      <c r="K100" s="5">
        <v>2380</v>
      </c>
      <c r="L100" t="s">
        <v>38</v>
      </c>
      <c r="M100">
        <v>4</v>
      </c>
    </row>
    <row r="101" spans="1:13">
      <c r="A101" t="s">
        <v>122</v>
      </c>
      <c r="B101" s="1">
        <v>45698</v>
      </c>
      <c r="C101" t="s">
        <v>40</v>
      </c>
      <c r="D101" t="s">
        <v>41</v>
      </c>
      <c r="E101" t="s">
        <v>62</v>
      </c>
      <c r="F101" t="s">
        <v>63</v>
      </c>
      <c r="G101" t="s">
        <v>22</v>
      </c>
      <c r="H101">
        <v>1</v>
      </c>
      <c r="I101" s="3">
        <v>2490</v>
      </c>
      <c r="J101" s="4">
        <v>0.05</v>
      </c>
      <c r="K101" s="5">
        <v>2365.5</v>
      </c>
      <c r="L101" t="s">
        <v>23</v>
      </c>
      <c r="M101">
        <v>4</v>
      </c>
    </row>
    <row r="102" spans="1:13">
      <c r="A102" t="s">
        <v>134</v>
      </c>
      <c r="B102" s="1">
        <v>45702</v>
      </c>
      <c r="C102" t="s">
        <v>25</v>
      </c>
      <c r="D102" t="s">
        <v>15</v>
      </c>
      <c r="E102" t="s">
        <v>62</v>
      </c>
      <c r="F102" t="s">
        <v>63</v>
      </c>
      <c r="G102" t="s">
        <v>22</v>
      </c>
      <c r="H102">
        <v>1</v>
      </c>
      <c r="I102" s="3">
        <v>2490</v>
      </c>
      <c r="J102" s="4">
        <v>0.05</v>
      </c>
      <c r="K102" s="5">
        <v>2365.5</v>
      </c>
      <c r="L102" t="s">
        <v>23</v>
      </c>
    </row>
    <row r="103" spans="1:13">
      <c r="A103" t="s">
        <v>412</v>
      </c>
      <c r="B103" s="1">
        <v>45883</v>
      </c>
      <c r="C103" t="s">
        <v>34</v>
      </c>
      <c r="D103" t="s">
        <v>35</v>
      </c>
      <c r="E103" t="s">
        <v>62</v>
      </c>
      <c r="F103" t="s">
        <v>63</v>
      </c>
      <c r="G103" t="s">
        <v>2</v>
      </c>
      <c r="H103">
        <v>1</v>
      </c>
      <c r="I103" s="3">
        <v>2490</v>
      </c>
      <c r="J103" s="4">
        <v>0.05</v>
      </c>
      <c r="K103" s="5">
        <v>2365.5</v>
      </c>
      <c r="L103" t="s">
        <v>18</v>
      </c>
      <c r="M103">
        <v>5</v>
      </c>
    </row>
    <row r="104" spans="1:13">
      <c r="A104" t="s">
        <v>462</v>
      </c>
      <c r="B104" s="1">
        <v>45914</v>
      </c>
      <c r="C104" t="s">
        <v>54</v>
      </c>
      <c r="D104" t="s">
        <v>35</v>
      </c>
      <c r="E104" t="s">
        <v>62</v>
      </c>
      <c r="F104" t="s">
        <v>63</v>
      </c>
      <c r="G104" t="s">
        <v>2</v>
      </c>
      <c r="H104">
        <v>1</v>
      </c>
      <c r="I104" s="3">
        <v>2490</v>
      </c>
      <c r="J104" s="4">
        <v>0.05</v>
      </c>
      <c r="K104" s="5">
        <v>2365.5</v>
      </c>
      <c r="L104" t="s">
        <v>38</v>
      </c>
      <c r="M104">
        <v>4</v>
      </c>
    </row>
    <row r="105" spans="1:13">
      <c r="A105" t="s">
        <v>476</v>
      </c>
      <c r="B105" s="1">
        <v>45922</v>
      </c>
      <c r="C105" t="s">
        <v>25</v>
      </c>
      <c r="D105" t="s">
        <v>15</v>
      </c>
      <c r="E105" t="s">
        <v>62</v>
      </c>
      <c r="F105" t="s">
        <v>63</v>
      </c>
      <c r="G105" t="s">
        <v>2</v>
      </c>
      <c r="H105">
        <v>1</v>
      </c>
      <c r="I105" s="3">
        <v>2490</v>
      </c>
      <c r="J105" s="4">
        <v>0.05</v>
      </c>
      <c r="K105" s="5">
        <v>2365.5</v>
      </c>
      <c r="L105" t="s">
        <v>23</v>
      </c>
      <c r="M105">
        <v>5</v>
      </c>
    </row>
    <row r="106" spans="1:13">
      <c r="A106" t="s">
        <v>521</v>
      </c>
      <c r="B106" s="1">
        <v>45943</v>
      </c>
      <c r="C106" t="s">
        <v>14</v>
      </c>
      <c r="D106" t="s">
        <v>15</v>
      </c>
      <c r="E106" t="s">
        <v>62</v>
      </c>
      <c r="F106" t="s">
        <v>63</v>
      </c>
      <c r="G106" t="s">
        <v>22</v>
      </c>
      <c r="H106">
        <v>1</v>
      </c>
      <c r="I106" s="3">
        <v>2490</v>
      </c>
      <c r="J106" s="4">
        <v>0.05</v>
      </c>
      <c r="K106" s="5">
        <v>2365.5</v>
      </c>
      <c r="L106" t="s">
        <v>23</v>
      </c>
      <c r="M106">
        <v>2</v>
      </c>
    </row>
    <row r="107" spans="1:13">
      <c r="A107" t="s">
        <v>326</v>
      </c>
      <c r="B107" s="1">
        <v>45818</v>
      </c>
      <c r="C107" t="s">
        <v>34</v>
      </c>
      <c r="D107" t="s">
        <v>35</v>
      </c>
      <c r="E107" t="s">
        <v>48</v>
      </c>
      <c r="F107" t="s">
        <v>65</v>
      </c>
      <c r="G107" t="s">
        <v>2</v>
      </c>
      <c r="H107">
        <v>1</v>
      </c>
      <c r="I107" s="3">
        <v>2590</v>
      </c>
      <c r="J107" s="4">
        <v>0.1</v>
      </c>
      <c r="K107" s="5">
        <v>2331</v>
      </c>
      <c r="L107" t="s">
        <v>38</v>
      </c>
      <c r="M107">
        <v>5</v>
      </c>
    </row>
    <row r="108" spans="1:13">
      <c r="A108" t="s">
        <v>430</v>
      </c>
      <c r="B108" s="1">
        <v>45898</v>
      </c>
      <c r="C108" t="s">
        <v>34</v>
      </c>
      <c r="D108" t="s">
        <v>35</v>
      </c>
      <c r="E108" t="s">
        <v>48</v>
      </c>
      <c r="F108" t="s">
        <v>65</v>
      </c>
      <c r="G108" t="s">
        <v>2</v>
      </c>
      <c r="H108">
        <v>1</v>
      </c>
      <c r="I108" s="3">
        <v>2590</v>
      </c>
      <c r="J108" s="4">
        <v>0.1</v>
      </c>
      <c r="K108" s="5">
        <v>2331</v>
      </c>
      <c r="L108" t="s">
        <v>38</v>
      </c>
      <c r="M108">
        <v>4</v>
      </c>
    </row>
    <row r="109" spans="1:13">
      <c r="A109" t="s">
        <v>603</v>
      </c>
      <c r="B109" s="1">
        <v>45990</v>
      </c>
      <c r="C109" t="s">
        <v>25</v>
      </c>
      <c r="D109" t="s">
        <v>15</v>
      </c>
      <c r="E109" t="s">
        <v>48</v>
      </c>
      <c r="F109" t="s">
        <v>65</v>
      </c>
      <c r="G109" t="s">
        <v>22</v>
      </c>
      <c r="H109">
        <v>1</v>
      </c>
      <c r="I109" s="3">
        <v>2590</v>
      </c>
      <c r="J109" s="4">
        <v>0.1</v>
      </c>
      <c r="K109" s="5">
        <v>2331</v>
      </c>
      <c r="L109" t="s">
        <v>23</v>
      </c>
      <c r="M109">
        <v>3</v>
      </c>
    </row>
    <row r="110" spans="1:13">
      <c r="A110" t="s">
        <v>61</v>
      </c>
      <c r="B110" s="1">
        <v>45668</v>
      </c>
      <c r="C110" t="s">
        <v>25</v>
      </c>
      <c r="D110" t="s">
        <v>15</v>
      </c>
      <c r="E110" t="s">
        <v>62</v>
      </c>
      <c r="F110" t="s">
        <v>63</v>
      </c>
      <c r="G110" t="s">
        <v>37</v>
      </c>
      <c r="H110">
        <v>1</v>
      </c>
      <c r="I110" s="3">
        <v>2490</v>
      </c>
      <c r="J110" s="4">
        <v>0.1</v>
      </c>
      <c r="K110" s="5">
        <v>2241</v>
      </c>
      <c r="L110" t="s">
        <v>38</v>
      </c>
      <c r="M110">
        <v>4</v>
      </c>
    </row>
    <row r="111" spans="1:13">
      <c r="A111" t="s">
        <v>80</v>
      </c>
      <c r="B111" s="1">
        <v>45677</v>
      </c>
      <c r="C111" t="s">
        <v>14</v>
      </c>
      <c r="D111" t="s">
        <v>15</v>
      </c>
      <c r="E111" t="s">
        <v>62</v>
      </c>
      <c r="F111" t="s">
        <v>63</v>
      </c>
      <c r="G111" t="s">
        <v>22</v>
      </c>
      <c r="H111">
        <v>1</v>
      </c>
      <c r="I111" s="3">
        <v>2490</v>
      </c>
      <c r="J111" s="4">
        <v>0.1</v>
      </c>
      <c r="K111" s="5">
        <v>2241</v>
      </c>
      <c r="L111" t="s">
        <v>23</v>
      </c>
      <c r="M111">
        <v>4</v>
      </c>
    </row>
    <row r="112" spans="1:13">
      <c r="A112" t="s">
        <v>193</v>
      </c>
      <c r="B112" s="1">
        <v>45733</v>
      </c>
      <c r="C112" t="s">
        <v>31</v>
      </c>
      <c r="D112" t="s">
        <v>15</v>
      </c>
      <c r="E112" t="s">
        <v>62</v>
      </c>
      <c r="F112" t="s">
        <v>63</v>
      </c>
      <c r="G112" t="s">
        <v>22</v>
      </c>
      <c r="H112">
        <v>1</v>
      </c>
      <c r="I112" s="3">
        <v>2490</v>
      </c>
      <c r="J112" s="4">
        <v>0.1</v>
      </c>
      <c r="K112" s="5">
        <v>2241</v>
      </c>
      <c r="L112" t="s">
        <v>51</v>
      </c>
      <c r="M112">
        <v>4</v>
      </c>
    </row>
    <row r="113" spans="1:13">
      <c r="A113" t="s">
        <v>333</v>
      </c>
      <c r="B113" s="1">
        <v>45824</v>
      </c>
      <c r="C113" t="s">
        <v>54</v>
      </c>
      <c r="D113" t="s">
        <v>35</v>
      </c>
      <c r="E113" t="s">
        <v>62</v>
      </c>
      <c r="F113" t="s">
        <v>63</v>
      </c>
      <c r="G113" t="s">
        <v>2</v>
      </c>
      <c r="H113">
        <v>1</v>
      </c>
      <c r="I113" s="3">
        <v>2490</v>
      </c>
      <c r="J113" s="4">
        <v>0.1</v>
      </c>
      <c r="K113" s="5">
        <v>2241</v>
      </c>
      <c r="L113" t="s">
        <v>23</v>
      </c>
      <c r="M113">
        <v>2</v>
      </c>
    </row>
    <row r="114" spans="1:13">
      <c r="A114" t="s">
        <v>162</v>
      </c>
      <c r="B114" s="1">
        <v>45718</v>
      </c>
      <c r="C114" t="s">
        <v>25</v>
      </c>
      <c r="D114" t="s">
        <v>15</v>
      </c>
      <c r="E114" t="s">
        <v>48</v>
      </c>
      <c r="F114" t="s">
        <v>65</v>
      </c>
      <c r="G114" t="s">
        <v>2</v>
      </c>
      <c r="H114">
        <v>1</v>
      </c>
      <c r="I114" s="3">
        <v>2590</v>
      </c>
      <c r="J114" s="4">
        <v>0.15</v>
      </c>
      <c r="K114" s="5">
        <v>2201.5</v>
      </c>
      <c r="L114" t="s">
        <v>23</v>
      </c>
      <c r="M114">
        <v>5</v>
      </c>
    </row>
    <row r="115" spans="1:13">
      <c r="A115" t="s">
        <v>351</v>
      </c>
      <c r="B115" s="1">
        <v>45836</v>
      </c>
      <c r="C115" t="s">
        <v>54</v>
      </c>
      <c r="D115" t="s">
        <v>35</v>
      </c>
      <c r="E115" t="s">
        <v>48</v>
      </c>
      <c r="F115" t="s">
        <v>65</v>
      </c>
      <c r="G115" t="s">
        <v>37</v>
      </c>
      <c r="H115">
        <v>1</v>
      </c>
      <c r="I115" s="3">
        <v>2590</v>
      </c>
      <c r="J115" s="4">
        <v>0.15</v>
      </c>
      <c r="K115" s="5">
        <v>2201.5</v>
      </c>
      <c r="L115" t="s">
        <v>23</v>
      </c>
      <c r="M115">
        <v>3</v>
      </c>
    </row>
    <row r="116" spans="1:13">
      <c r="A116" t="s">
        <v>170</v>
      </c>
      <c r="B116" s="1">
        <v>45722</v>
      </c>
      <c r="C116" t="s">
        <v>44</v>
      </c>
      <c r="D116" t="s">
        <v>45</v>
      </c>
      <c r="E116" t="s">
        <v>62</v>
      </c>
      <c r="F116" t="s">
        <v>100</v>
      </c>
      <c r="G116" t="s">
        <v>37</v>
      </c>
      <c r="H116">
        <v>2</v>
      </c>
      <c r="I116" s="3">
        <v>1190</v>
      </c>
      <c r="J116" s="4">
        <v>0.1</v>
      </c>
      <c r="K116" s="5">
        <v>2142</v>
      </c>
      <c r="L116" t="s">
        <v>23</v>
      </c>
      <c r="M116">
        <v>5</v>
      </c>
    </row>
    <row r="117" spans="1:13">
      <c r="A117" t="s">
        <v>263</v>
      </c>
      <c r="B117" s="1">
        <v>45781</v>
      </c>
      <c r="C117" t="s">
        <v>40</v>
      </c>
      <c r="D117" t="s">
        <v>41</v>
      </c>
      <c r="E117" t="s">
        <v>62</v>
      </c>
      <c r="F117" t="s">
        <v>100</v>
      </c>
      <c r="G117" t="s">
        <v>2</v>
      </c>
      <c r="H117">
        <v>2</v>
      </c>
      <c r="I117" s="3">
        <v>1190</v>
      </c>
      <c r="J117" s="4">
        <v>0.1</v>
      </c>
      <c r="K117" s="5">
        <v>2142</v>
      </c>
      <c r="L117" t="s">
        <v>38</v>
      </c>
      <c r="M117">
        <v>3</v>
      </c>
    </row>
    <row r="118" spans="1:13">
      <c r="A118" t="s">
        <v>469</v>
      </c>
      <c r="B118" s="1">
        <v>45917</v>
      </c>
      <c r="C118" t="s">
        <v>25</v>
      </c>
      <c r="D118" t="s">
        <v>15</v>
      </c>
      <c r="E118" t="s">
        <v>62</v>
      </c>
      <c r="F118" t="s">
        <v>100</v>
      </c>
      <c r="G118" t="s">
        <v>22</v>
      </c>
      <c r="H118">
        <v>2</v>
      </c>
      <c r="I118" s="3">
        <v>1190</v>
      </c>
      <c r="J118" s="4">
        <v>0.1</v>
      </c>
      <c r="K118" s="5">
        <v>2142</v>
      </c>
      <c r="L118" t="s">
        <v>23</v>
      </c>
      <c r="M118">
        <v>5</v>
      </c>
    </row>
    <row r="119" spans="1:13">
      <c r="A119" t="s">
        <v>225</v>
      </c>
      <c r="B119" s="1">
        <v>45757</v>
      </c>
      <c r="C119" t="s">
        <v>57</v>
      </c>
      <c r="D119" t="s">
        <v>15</v>
      </c>
      <c r="E119" t="s">
        <v>62</v>
      </c>
      <c r="F119" t="s">
        <v>63</v>
      </c>
      <c r="G119" t="s">
        <v>22</v>
      </c>
      <c r="H119">
        <v>1</v>
      </c>
      <c r="I119" s="3">
        <v>2490</v>
      </c>
      <c r="J119" s="4">
        <v>0.15</v>
      </c>
      <c r="K119" s="5">
        <v>2116.5</v>
      </c>
      <c r="L119" t="s">
        <v>23</v>
      </c>
      <c r="M119">
        <v>4</v>
      </c>
    </row>
    <row r="120" spans="1:13">
      <c r="A120" t="s">
        <v>623</v>
      </c>
      <c r="B120" s="1">
        <v>46001</v>
      </c>
      <c r="C120" t="s">
        <v>34</v>
      </c>
      <c r="D120" t="s">
        <v>35</v>
      </c>
      <c r="E120" t="s">
        <v>62</v>
      </c>
      <c r="F120" t="s">
        <v>63</v>
      </c>
      <c r="G120" t="s">
        <v>2</v>
      </c>
      <c r="H120">
        <v>1</v>
      </c>
      <c r="I120" s="3">
        <v>2490</v>
      </c>
      <c r="J120" s="4">
        <v>0.15</v>
      </c>
      <c r="K120" s="5">
        <v>2116.5</v>
      </c>
      <c r="L120" t="s">
        <v>23</v>
      </c>
      <c r="M120">
        <v>2</v>
      </c>
    </row>
    <row r="121" spans="1:13">
      <c r="A121" t="s">
        <v>508</v>
      </c>
      <c r="B121" s="1">
        <v>45938</v>
      </c>
      <c r="C121" t="s">
        <v>34</v>
      </c>
      <c r="D121" t="s">
        <v>35</v>
      </c>
      <c r="E121" t="s">
        <v>62</v>
      </c>
      <c r="F121" t="s">
        <v>100</v>
      </c>
      <c r="G121" t="s">
        <v>37</v>
      </c>
      <c r="H121">
        <v>2</v>
      </c>
      <c r="I121" s="3">
        <v>1190</v>
      </c>
      <c r="J121" s="4">
        <v>0.15</v>
      </c>
      <c r="K121" s="5">
        <v>2023</v>
      </c>
      <c r="L121" t="s">
        <v>23</v>
      </c>
      <c r="M121">
        <v>3</v>
      </c>
    </row>
    <row r="122" spans="1:13">
      <c r="A122" t="s">
        <v>413</v>
      </c>
      <c r="B122" s="1">
        <v>45884</v>
      </c>
      <c r="C122" t="s">
        <v>31</v>
      </c>
      <c r="D122" t="s">
        <v>15</v>
      </c>
      <c r="E122" t="s">
        <v>62</v>
      </c>
      <c r="F122" t="s">
        <v>63</v>
      </c>
      <c r="G122" t="s">
        <v>2</v>
      </c>
      <c r="H122">
        <v>1</v>
      </c>
      <c r="I122" s="3">
        <v>2490</v>
      </c>
      <c r="J122" s="4">
        <v>0.2</v>
      </c>
      <c r="K122" s="5">
        <v>1992</v>
      </c>
      <c r="L122" t="s">
        <v>23</v>
      </c>
      <c r="M122">
        <v>2</v>
      </c>
    </row>
    <row r="123" spans="1:13">
      <c r="A123" t="s">
        <v>604</v>
      </c>
      <c r="B123" s="1">
        <v>45991</v>
      </c>
      <c r="C123" t="s">
        <v>57</v>
      </c>
      <c r="D123" t="s">
        <v>15</v>
      </c>
      <c r="E123" t="s">
        <v>62</v>
      </c>
      <c r="F123" t="s">
        <v>63</v>
      </c>
      <c r="G123" t="s">
        <v>22</v>
      </c>
      <c r="H123">
        <v>1</v>
      </c>
      <c r="I123" s="3">
        <v>2490</v>
      </c>
      <c r="J123" s="4">
        <v>0.2</v>
      </c>
      <c r="K123" s="5">
        <v>1992</v>
      </c>
      <c r="L123" t="s">
        <v>23</v>
      </c>
      <c r="M123">
        <v>4</v>
      </c>
    </row>
    <row r="124" spans="1:13">
      <c r="A124" t="s">
        <v>220</v>
      </c>
      <c r="B124" s="1">
        <v>45752</v>
      </c>
      <c r="C124" t="s">
        <v>14</v>
      </c>
      <c r="D124" t="s">
        <v>15</v>
      </c>
      <c r="E124" t="s">
        <v>26</v>
      </c>
      <c r="F124" t="s">
        <v>60</v>
      </c>
      <c r="G124" t="s">
        <v>2</v>
      </c>
      <c r="H124">
        <v>1</v>
      </c>
      <c r="I124" s="3">
        <v>1890</v>
      </c>
      <c r="J124" s="4">
        <v>0</v>
      </c>
      <c r="K124" s="5">
        <v>1890</v>
      </c>
      <c r="L124" t="s">
        <v>51</v>
      </c>
      <c r="M124">
        <v>4</v>
      </c>
    </row>
    <row r="125" spans="1:13">
      <c r="A125" t="s">
        <v>295</v>
      </c>
      <c r="B125" s="1">
        <v>45803</v>
      </c>
      <c r="C125" t="s">
        <v>14</v>
      </c>
      <c r="D125" t="s">
        <v>15</v>
      </c>
      <c r="E125" t="s">
        <v>26</v>
      </c>
      <c r="F125" t="s">
        <v>60</v>
      </c>
      <c r="G125" t="s">
        <v>2</v>
      </c>
      <c r="H125">
        <v>1</v>
      </c>
      <c r="I125" s="3">
        <v>1890</v>
      </c>
      <c r="J125" s="4">
        <v>0</v>
      </c>
      <c r="K125" s="5">
        <v>1890</v>
      </c>
      <c r="L125" t="s">
        <v>51</v>
      </c>
      <c r="M125">
        <v>3</v>
      </c>
    </row>
    <row r="126" spans="1:13">
      <c r="A126" t="s">
        <v>313</v>
      </c>
      <c r="B126" s="1">
        <v>45813</v>
      </c>
      <c r="C126" t="s">
        <v>34</v>
      </c>
      <c r="D126" t="s">
        <v>35</v>
      </c>
      <c r="E126" t="s">
        <v>26</v>
      </c>
      <c r="F126" t="s">
        <v>60</v>
      </c>
      <c r="G126" t="s">
        <v>2</v>
      </c>
      <c r="H126">
        <v>1</v>
      </c>
      <c r="I126" s="3">
        <v>1890</v>
      </c>
      <c r="J126" s="4">
        <v>0</v>
      </c>
      <c r="K126" s="5">
        <v>1890</v>
      </c>
      <c r="L126" t="s">
        <v>18</v>
      </c>
      <c r="M126">
        <v>4</v>
      </c>
    </row>
    <row r="127" spans="1:13">
      <c r="A127" t="s">
        <v>338</v>
      </c>
      <c r="B127" s="1">
        <v>45825</v>
      </c>
      <c r="C127" t="s">
        <v>34</v>
      </c>
      <c r="D127" t="s">
        <v>35</v>
      </c>
      <c r="E127" t="s">
        <v>26</v>
      </c>
      <c r="F127" t="s">
        <v>60</v>
      </c>
      <c r="G127" t="s">
        <v>2</v>
      </c>
      <c r="H127">
        <v>1</v>
      </c>
      <c r="I127" s="3">
        <v>1890</v>
      </c>
      <c r="J127" s="4">
        <v>0</v>
      </c>
      <c r="K127" s="5">
        <v>1890</v>
      </c>
      <c r="L127" t="s">
        <v>23</v>
      </c>
      <c r="M127">
        <v>5</v>
      </c>
    </row>
    <row r="128" spans="1:13">
      <c r="A128" t="s">
        <v>358</v>
      </c>
      <c r="B128" s="1">
        <v>45842</v>
      </c>
      <c r="C128" t="s">
        <v>25</v>
      </c>
      <c r="D128" t="s">
        <v>15</v>
      </c>
      <c r="E128" t="s">
        <v>26</v>
      </c>
      <c r="F128" t="s">
        <v>60</v>
      </c>
      <c r="G128" t="s">
        <v>2</v>
      </c>
      <c r="H128">
        <v>1</v>
      </c>
      <c r="I128" s="3">
        <v>1890</v>
      </c>
      <c r="J128" s="4">
        <v>0</v>
      </c>
      <c r="K128" s="5">
        <v>1890</v>
      </c>
      <c r="L128" t="s">
        <v>23</v>
      </c>
    </row>
    <row r="129" spans="1:13">
      <c r="A129" t="s">
        <v>451</v>
      </c>
      <c r="B129" s="1">
        <v>45909</v>
      </c>
      <c r="C129" t="s">
        <v>40</v>
      </c>
      <c r="D129" t="s">
        <v>41</v>
      </c>
      <c r="E129" t="s">
        <v>26</v>
      </c>
      <c r="F129" t="s">
        <v>60</v>
      </c>
      <c r="G129" t="s">
        <v>22</v>
      </c>
      <c r="H129">
        <v>1</v>
      </c>
      <c r="I129" s="3">
        <v>1890</v>
      </c>
      <c r="J129" s="4">
        <v>0</v>
      </c>
      <c r="K129" s="5">
        <v>1890</v>
      </c>
      <c r="L129" t="s">
        <v>23</v>
      </c>
      <c r="M129">
        <v>5</v>
      </c>
    </row>
    <row r="130" spans="1:13">
      <c r="A130" t="s">
        <v>513</v>
      </c>
      <c r="B130" s="1">
        <v>45939</v>
      </c>
      <c r="C130" t="s">
        <v>44</v>
      </c>
      <c r="D130" t="s">
        <v>45</v>
      </c>
      <c r="E130" t="s">
        <v>26</v>
      </c>
      <c r="F130" t="s">
        <v>60</v>
      </c>
      <c r="G130" t="s">
        <v>37</v>
      </c>
      <c r="H130">
        <v>1</v>
      </c>
      <c r="I130" s="3">
        <v>1890</v>
      </c>
      <c r="J130" s="4">
        <v>0</v>
      </c>
      <c r="K130" s="5">
        <v>1890</v>
      </c>
      <c r="L130" t="s">
        <v>23</v>
      </c>
    </row>
    <row r="131" spans="1:13">
      <c r="A131" t="s">
        <v>590</v>
      </c>
      <c r="B131" s="1">
        <v>45982</v>
      </c>
      <c r="C131" t="s">
        <v>44</v>
      </c>
      <c r="D131" t="s">
        <v>45</v>
      </c>
      <c r="E131" t="s">
        <v>26</v>
      </c>
      <c r="F131" t="s">
        <v>60</v>
      </c>
      <c r="G131" t="s">
        <v>22</v>
      </c>
      <c r="H131">
        <v>1</v>
      </c>
      <c r="I131" s="3">
        <v>1890</v>
      </c>
      <c r="J131" s="4">
        <v>0</v>
      </c>
      <c r="K131" s="5">
        <v>1890</v>
      </c>
      <c r="L131" t="s">
        <v>23</v>
      </c>
      <c r="M131">
        <v>4</v>
      </c>
    </row>
    <row r="132" spans="1:13">
      <c r="A132" t="s">
        <v>605</v>
      </c>
      <c r="B132" s="1">
        <v>45992</v>
      </c>
      <c r="C132" t="s">
        <v>25</v>
      </c>
      <c r="D132" t="s">
        <v>15</v>
      </c>
      <c r="E132" t="s">
        <v>26</v>
      </c>
      <c r="F132" t="s">
        <v>60</v>
      </c>
      <c r="G132" t="s">
        <v>37</v>
      </c>
      <c r="H132">
        <v>1</v>
      </c>
      <c r="I132" s="3">
        <v>1890</v>
      </c>
      <c r="J132" s="4">
        <v>0</v>
      </c>
      <c r="K132" s="5">
        <v>1890</v>
      </c>
      <c r="L132" t="s">
        <v>18</v>
      </c>
    </row>
    <row r="133" spans="1:13">
      <c r="A133" t="s">
        <v>644</v>
      </c>
      <c r="B133" s="1">
        <v>46014</v>
      </c>
      <c r="C133" t="s">
        <v>57</v>
      </c>
      <c r="D133" t="s">
        <v>15</v>
      </c>
      <c r="E133" t="s">
        <v>26</v>
      </c>
      <c r="F133" t="s">
        <v>60</v>
      </c>
      <c r="G133" t="s">
        <v>2</v>
      </c>
      <c r="H133">
        <v>1</v>
      </c>
      <c r="I133" s="3">
        <v>1890</v>
      </c>
      <c r="J133" s="4">
        <v>0</v>
      </c>
      <c r="K133" s="5">
        <v>1890</v>
      </c>
      <c r="L133" t="s">
        <v>51</v>
      </c>
      <c r="M133">
        <v>5</v>
      </c>
    </row>
    <row r="134" spans="1:13">
      <c r="A134" t="s">
        <v>649</v>
      </c>
      <c r="B134" s="1">
        <v>46017</v>
      </c>
      <c r="C134" t="s">
        <v>44</v>
      </c>
      <c r="D134" t="s">
        <v>45</v>
      </c>
      <c r="E134" t="s">
        <v>26</v>
      </c>
      <c r="F134" t="s">
        <v>60</v>
      </c>
      <c r="G134" t="s">
        <v>22</v>
      </c>
      <c r="H134">
        <v>1</v>
      </c>
      <c r="I134" s="3">
        <v>1890</v>
      </c>
      <c r="J134" s="4">
        <v>0</v>
      </c>
      <c r="K134" s="5">
        <v>1890</v>
      </c>
      <c r="L134" t="s">
        <v>51</v>
      </c>
      <c r="M134">
        <v>5</v>
      </c>
    </row>
    <row r="135" spans="1:13">
      <c r="A135" t="s">
        <v>388</v>
      </c>
      <c r="B135" s="1">
        <v>45861</v>
      </c>
      <c r="C135" t="s">
        <v>34</v>
      </c>
      <c r="D135" t="s">
        <v>35</v>
      </c>
      <c r="E135" t="s">
        <v>16</v>
      </c>
      <c r="F135" t="s">
        <v>17</v>
      </c>
      <c r="G135" t="s">
        <v>2</v>
      </c>
      <c r="H135">
        <v>100</v>
      </c>
      <c r="I135" s="3">
        <v>19</v>
      </c>
      <c r="J135" s="4">
        <v>0.05</v>
      </c>
      <c r="K135" s="5">
        <v>1805</v>
      </c>
      <c r="L135" t="s">
        <v>23</v>
      </c>
      <c r="M135">
        <v>5</v>
      </c>
    </row>
    <row r="136" spans="1:13">
      <c r="A136" t="s">
        <v>389</v>
      </c>
      <c r="B136" s="1">
        <v>45861</v>
      </c>
      <c r="C136" t="s">
        <v>40</v>
      </c>
      <c r="D136" t="s">
        <v>41</v>
      </c>
      <c r="E136" t="s">
        <v>26</v>
      </c>
      <c r="F136" t="s">
        <v>60</v>
      </c>
      <c r="G136" t="s">
        <v>2</v>
      </c>
      <c r="H136">
        <v>1</v>
      </c>
      <c r="I136" s="3">
        <v>1890</v>
      </c>
      <c r="J136" s="4">
        <v>0.05</v>
      </c>
      <c r="K136" s="5">
        <v>1795.5</v>
      </c>
      <c r="L136" t="s">
        <v>23</v>
      </c>
      <c r="M136">
        <v>5</v>
      </c>
    </row>
    <row r="137" spans="1:13">
      <c r="A137" t="s">
        <v>402</v>
      </c>
      <c r="B137" s="1">
        <v>45874</v>
      </c>
      <c r="C137" t="s">
        <v>54</v>
      </c>
      <c r="D137" t="s">
        <v>35</v>
      </c>
      <c r="E137" t="s">
        <v>26</v>
      </c>
      <c r="F137" t="s">
        <v>60</v>
      </c>
      <c r="G137" t="s">
        <v>22</v>
      </c>
      <c r="H137">
        <v>1</v>
      </c>
      <c r="I137" s="3">
        <v>1890</v>
      </c>
      <c r="J137" s="4">
        <v>0.05</v>
      </c>
      <c r="K137" s="5">
        <v>1795.5</v>
      </c>
      <c r="L137" t="s">
        <v>23</v>
      </c>
      <c r="M137">
        <v>4</v>
      </c>
    </row>
    <row r="138" spans="1:13">
      <c r="A138" t="s">
        <v>415</v>
      </c>
      <c r="B138" s="1">
        <v>45886</v>
      </c>
      <c r="C138" t="s">
        <v>44</v>
      </c>
      <c r="D138" t="s">
        <v>45</v>
      </c>
      <c r="E138" t="s">
        <v>26</v>
      </c>
      <c r="F138" t="s">
        <v>60</v>
      </c>
      <c r="G138" t="s">
        <v>37</v>
      </c>
      <c r="H138">
        <v>1</v>
      </c>
      <c r="I138" s="3">
        <v>1890</v>
      </c>
      <c r="J138" s="4">
        <v>0.05</v>
      </c>
      <c r="K138" s="5">
        <v>1795.5</v>
      </c>
      <c r="L138" t="s">
        <v>23</v>
      </c>
      <c r="M138">
        <v>5</v>
      </c>
    </row>
    <row r="139" spans="1:13">
      <c r="A139" t="s">
        <v>441</v>
      </c>
      <c r="B139" s="1">
        <v>45903</v>
      </c>
      <c r="C139" t="s">
        <v>40</v>
      </c>
      <c r="D139" t="s">
        <v>41</v>
      </c>
      <c r="E139" t="s">
        <v>26</v>
      </c>
      <c r="F139" t="s">
        <v>60</v>
      </c>
      <c r="G139" t="s">
        <v>22</v>
      </c>
      <c r="H139">
        <v>1</v>
      </c>
      <c r="I139" s="3">
        <v>1890</v>
      </c>
      <c r="J139" s="4">
        <v>0.05</v>
      </c>
      <c r="K139" s="5">
        <v>1795.5</v>
      </c>
      <c r="L139" t="s">
        <v>23</v>
      </c>
      <c r="M139">
        <v>4</v>
      </c>
    </row>
    <row r="140" spans="1:13">
      <c r="A140" t="s">
        <v>517</v>
      </c>
      <c r="B140" s="1">
        <v>45940</v>
      </c>
      <c r="C140" t="s">
        <v>54</v>
      </c>
      <c r="D140" t="s">
        <v>35</v>
      </c>
      <c r="E140" t="s">
        <v>26</v>
      </c>
      <c r="F140" t="s">
        <v>60</v>
      </c>
      <c r="G140" t="s">
        <v>2</v>
      </c>
      <c r="H140">
        <v>1</v>
      </c>
      <c r="I140" s="3">
        <v>1890</v>
      </c>
      <c r="J140" s="4">
        <v>0.05</v>
      </c>
      <c r="K140" s="5">
        <v>1795.5</v>
      </c>
      <c r="L140" t="s">
        <v>23</v>
      </c>
      <c r="M140">
        <v>5</v>
      </c>
    </row>
    <row r="141" spans="1:13">
      <c r="A141" t="s">
        <v>543</v>
      </c>
      <c r="B141" s="1">
        <v>45958</v>
      </c>
      <c r="C141" t="s">
        <v>34</v>
      </c>
      <c r="D141" t="s">
        <v>35</v>
      </c>
      <c r="E141" t="s">
        <v>26</v>
      </c>
      <c r="F141" t="s">
        <v>60</v>
      </c>
      <c r="G141" t="s">
        <v>2</v>
      </c>
      <c r="H141">
        <v>1</v>
      </c>
      <c r="I141" s="3">
        <v>1890</v>
      </c>
      <c r="J141" s="4">
        <v>0.05</v>
      </c>
      <c r="K141" s="5">
        <v>1795.5</v>
      </c>
      <c r="L141" t="s">
        <v>23</v>
      </c>
      <c r="M141">
        <v>5</v>
      </c>
    </row>
    <row r="142" spans="1:13">
      <c r="A142" t="s">
        <v>586</v>
      </c>
      <c r="B142" s="1">
        <v>45981</v>
      </c>
      <c r="C142" t="s">
        <v>54</v>
      </c>
      <c r="D142" t="s">
        <v>35</v>
      </c>
      <c r="E142" t="s">
        <v>26</v>
      </c>
      <c r="F142" t="s">
        <v>60</v>
      </c>
      <c r="G142" t="s">
        <v>22</v>
      </c>
      <c r="H142">
        <v>1</v>
      </c>
      <c r="I142" s="3">
        <v>1890</v>
      </c>
      <c r="J142" s="4">
        <v>0.05</v>
      </c>
      <c r="K142" s="5">
        <v>1795.5</v>
      </c>
      <c r="L142" t="s">
        <v>23</v>
      </c>
      <c r="M142">
        <v>5</v>
      </c>
    </row>
    <row r="143" spans="1:13">
      <c r="A143" t="s">
        <v>78</v>
      </c>
      <c r="B143" s="1">
        <v>45676</v>
      </c>
      <c r="C143" t="s">
        <v>34</v>
      </c>
      <c r="D143" t="s">
        <v>35</v>
      </c>
      <c r="E143" t="s">
        <v>48</v>
      </c>
      <c r="F143" t="s">
        <v>79</v>
      </c>
      <c r="G143" t="s">
        <v>37</v>
      </c>
      <c r="H143">
        <v>1</v>
      </c>
      <c r="I143" s="3">
        <v>1790</v>
      </c>
      <c r="J143" s="4">
        <v>0</v>
      </c>
      <c r="K143" s="5">
        <v>1790</v>
      </c>
      <c r="L143" t="s">
        <v>23</v>
      </c>
      <c r="M143">
        <v>4</v>
      </c>
    </row>
    <row r="144" spans="1:13">
      <c r="A144" t="s">
        <v>124</v>
      </c>
      <c r="B144" s="1">
        <v>45699</v>
      </c>
      <c r="C144" t="s">
        <v>25</v>
      </c>
      <c r="D144" t="s">
        <v>15</v>
      </c>
      <c r="E144" t="s">
        <v>48</v>
      </c>
      <c r="F144" t="s">
        <v>79</v>
      </c>
      <c r="G144" t="s">
        <v>22</v>
      </c>
      <c r="H144">
        <v>1</v>
      </c>
      <c r="I144" s="3">
        <v>1790</v>
      </c>
      <c r="J144" s="4">
        <v>0</v>
      </c>
      <c r="K144" s="5">
        <v>1790</v>
      </c>
      <c r="L144" t="s">
        <v>23</v>
      </c>
      <c r="M144">
        <v>4</v>
      </c>
    </row>
    <row r="145" spans="1:13">
      <c r="A145" t="s">
        <v>139</v>
      </c>
      <c r="B145" s="1">
        <v>45707</v>
      </c>
      <c r="C145" t="s">
        <v>54</v>
      </c>
      <c r="D145" t="s">
        <v>35</v>
      </c>
      <c r="E145" t="s">
        <v>48</v>
      </c>
      <c r="F145" t="s">
        <v>79</v>
      </c>
      <c r="G145" t="s">
        <v>22</v>
      </c>
      <c r="H145">
        <v>1</v>
      </c>
      <c r="I145" s="3">
        <v>1790</v>
      </c>
      <c r="J145" s="4">
        <v>0</v>
      </c>
      <c r="K145" s="5">
        <v>1790</v>
      </c>
      <c r="L145" t="s">
        <v>38</v>
      </c>
      <c r="M145">
        <v>5</v>
      </c>
    </row>
    <row r="146" spans="1:13">
      <c r="A146" t="s">
        <v>160</v>
      </c>
      <c r="B146" s="1">
        <v>45718</v>
      </c>
      <c r="C146" t="s">
        <v>57</v>
      </c>
      <c r="D146" t="s">
        <v>15</v>
      </c>
      <c r="E146" t="s">
        <v>48</v>
      </c>
      <c r="F146" t="s">
        <v>79</v>
      </c>
      <c r="G146" t="s">
        <v>2</v>
      </c>
      <c r="H146">
        <v>1</v>
      </c>
      <c r="I146" s="3">
        <v>1790</v>
      </c>
      <c r="J146" s="4">
        <v>0</v>
      </c>
      <c r="K146" s="5">
        <v>1790</v>
      </c>
      <c r="L146" t="s">
        <v>38</v>
      </c>
      <c r="M146">
        <v>5</v>
      </c>
    </row>
    <row r="147" spans="1:13">
      <c r="A147" t="s">
        <v>188</v>
      </c>
      <c r="B147" s="1">
        <v>45729</v>
      </c>
      <c r="C147" t="s">
        <v>40</v>
      </c>
      <c r="D147" t="s">
        <v>41</v>
      </c>
      <c r="E147" t="s">
        <v>48</v>
      </c>
      <c r="F147" t="s">
        <v>79</v>
      </c>
      <c r="G147" t="s">
        <v>22</v>
      </c>
      <c r="H147">
        <v>1</v>
      </c>
      <c r="I147" s="3">
        <v>1790</v>
      </c>
      <c r="J147" s="4">
        <v>0</v>
      </c>
      <c r="K147" s="5">
        <v>1790</v>
      </c>
      <c r="L147" t="s">
        <v>23</v>
      </c>
      <c r="M147">
        <v>3</v>
      </c>
    </row>
    <row r="148" spans="1:13">
      <c r="A148" t="s">
        <v>211</v>
      </c>
      <c r="B148" s="1">
        <v>45745</v>
      </c>
      <c r="C148" t="s">
        <v>31</v>
      </c>
      <c r="D148" t="s">
        <v>15</v>
      </c>
      <c r="E148" t="s">
        <v>48</v>
      </c>
      <c r="F148" t="s">
        <v>79</v>
      </c>
      <c r="G148" t="s">
        <v>22</v>
      </c>
      <c r="H148">
        <v>1</v>
      </c>
      <c r="I148" s="3">
        <v>1790</v>
      </c>
      <c r="J148" s="4">
        <v>0</v>
      </c>
      <c r="K148" s="5">
        <v>1790</v>
      </c>
      <c r="L148" t="s">
        <v>23</v>
      </c>
      <c r="M148">
        <v>5</v>
      </c>
    </row>
    <row r="149" spans="1:13">
      <c r="A149" t="s">
        <v>224</v>
      </c>
      <c r="B149" s="1">
        <v>45757</v>
      </c>
      <c r="C149" t="s">
        <v>40</v>
      </c>
      <c r="D149" t="s">
        <v>41</v>
      </c>
      <c r="E149" t="s">
        <v>48</v>
      </c>
      <c r="F149" t="s">
        <v>79</v>
      </c>
      <c r="G149" t="s">
        <v>22</v>
      </c>
      <c r="H149">
        <v>1</v>
      </c>
      <c r="I149" s="3">
        <v>1790</v>
      </c>
      <c r="J149" s="4">
        <v>0</v>
      </c>
      <c r="K149" s="5">
        <v>1790</v>
      </c>
      <c r="L149" t="s">
        <v>18</v>
      </c>
      <c r="M149">
        <v>5</v>
      </c>
    </row>
    <row r="150" spans="1:13">
      <c r="A150" t="s">
        <v>244</v>
      </c>
      <c r="B150" s="1">
        <v>45769</v>
      </c>
      <c r="C150" t="s">
        <v>40</v>
      </c>
      <c r="D150" t="s">
        <v>41</v>
      </c>
      <c r="E150" t="s">
        <v>48</v>
      </c>
      <c r="F150" t="s">
        <v>79</v>
      </c>
      <c r="G150" t="s">
        <v>37</v>
      </c>
      <c r="H150">
        <v>1</v>
      </c>
      <c r="I150" s="3">
        <v>1790</v>
      </c>
      <c r="J150" s="4">
        <v>0</v>
      </c>
      <c r="K150" s="5">
        <v>1790</v>
      </c>
      <c r="L150" t="s">
        <v>23</v>
      </c>
      <c r="M150">
        <v>5</v>
      </c>
    </row>
    <row r="151" spans="1:13">
      <c r="A151" t="s">
        <v>434</v>
      </c>
      <c r="B151" s="1">
        <v>45899</v>
      </c>
      <c r="C151" t="s">
        <v>54</v>
      </c>
      <c r="D151" t="s">
        <v>35</v>
      </c>
      <c r="E151" t="s">
        <v>48</v>
      </c>
      <c r="F151" t="s">
        <v>79</v>
      </c>
      <c r="G151" t="s">
        <v>2</v>
      </c>
      <c r="H151">
        <v>1</v>
      </c>
      <c r="I151" s="3">
        <v>1790</v>
      </c>
      <c r="J151" s="4">
        <v>0</v>
      </c>
      <c r="K151" s="5">
        <v>1790</v>
      </c>
      <c r="L151" t="s">
        <v>23</v>
      </c>
      <c r="M151">
        <v>5</v>
      </c>
    </row>
    <row r="152" spans="1:13">
      <c r="A152" t="s">
        <v>456</v>
      </c>
      <c r="B152" s="1">
        <v>45911</v>
      </c>
      <c r="C152" t="s">
        <v>40</v>
      </c>
      <c r="D152" t="s">
        <v>41</v>
      </c>
      <c r="E152" t="s">
        <v>48</v>
      </c>
      <c r="F152" t="s">
        <v>79</v>
      </c>
      <c r="G152" t="s">
        <v>2</v>
      </c>
      <c r="H152">
        <v>1</v>
      </c>
      <c r="I152" s="3">
        <v>1790</v>
      </c>
      <c r="J152" s="4">
        <v>0</v>
      </c>
      <c r="K152" s="5">
        <v>1790</v>
      </c>
      <c r="L152" t="s">
        <v>18</v>
      </c>
      <c r="M152">
        <v>4</v>
      </c>
    </row>
    <row r="153" spans="1:13">
      <c r="A153" t="s">
        <v>547</v>
      </c>
      <c r="B153" s="1">
        <v>45961</v>
      </c>
      <c r="C153" t="s">
        <v>14</v>
      </c>
      <c r="D153" t="s">
        <v>15</v>
      </c>
      <c r="E153" t="s">
        <v>48</v>
      </c>
      <c r="F153" t="s">
        <v>79</v>
      </c>
      <c r="G153" t="s">
        <v>37</v>
      </c>
      <c r="H153">
        <v>1</v>
      </c>
      <c r="I153" s="3">
        <v>1790</v>
      </c>
      <c r="J153" s="4">
        <v>0</v>
      </c>
      <c r="K153" s="5">
        <v>1790</v>
      </c>
      <c r="L153" t="s">
        <v>23</v>
      </c>
      <c r="M153">
        <v>5</v>
      </c>
    </row>
    <row r="154" spans="1:13">
      <c r="A154" t="s">
        <v>628</v>
      </c>
      <c r="B154" s="1">
        <v>46005</v>
      </c>
      <c r="C154" t="s">
        <v>25</v>
      </c>
      <c r="D154" t="s">
        <v>15</v>
      </c>
      <c r="E154" t="s">
        <v>48</v>
      </c>
      <c r="F154" t="s">
        <v>79</v>
      </c>
      <c r="G154" t="s">
        <v>22</v>
      </c>
      <c r="H154">
        <v>1</v>
      </c>
      <c r="I154" s="3">
        <v>1790</v>
      </c>
      <c r="J154" s="4">
        <v>0</v>
      </c>
      <c r="K154" s="5">
        <v>1790</v>
      </c>
      <c r="L154" t="s">
        <v>18</v>
      </c>
    </row>
    <row r="155" spans="1:13">
      <c r="A155" t="s">
        <v>643</v>
      </c>
      <c r="B155" s="1">
        <v>46012</v>
      </c>
      <c r="C155" t="s">
        <v>40</v>
      </c>
      <c r="D155" t="s">
        <v>41</v>
      </c>
      <c r="E155" t="s">
        <v>48</v>
      </c>
      <c r="F155" t="s">
        <v>79</v>
      </c>
      <c r="G155" t="s">
        <v>2</v>
      </c>
      <c r="H155">
        <v>1</v>
      </c>
      <c r="I155" s="3">
        <v>1790</v>
      </c>
      <c r="J155" s="4">
        <v>0</v>
      </c>
      <c r="K155" s="5">
        <v>1790</v>
      </c>
      <c r="L155" t="s">
        <v>18</v>
      </c>
      <c r="M155">
        <v>4</v>
      </c>
    </row>
    <row r="156" spans="1:13">
      <c r="A156" t="s">
        <v>59</v>
      </c>
      <c r="B156" s="1">
        <v>45668</v>
      </c>
      <c r="C156" t="s">
        <v>40</v>
      </c>
      <c r="D156" t="s">
        <v>41</v>
      </c>
      <c r="E156" t="s">
        <v>26</v>
      </c>
      <c r="F156" t="s">
        <v>60</v>
      </c>
      <c r="G156" t="s">
        <v>22</v>
      </c>
      <c r="H156">
        <v>1</v>
      </c>
      <c r="I156" s="3">
        <v>1890</v>
      </c>
      <c r="J156" s="4">
        <v>0.1</v>
      </c>
      <c r="K156" s="5">
        <v>1701</v>
      </c>
      <c r="L156" t="s">
        <v>23</v>
      </c>
      <c r="M156">
        <v>5</v>
      </c>
    </row>
    <row r="157" spans="1:13">
      <c r="A157" t="s">
        <v>151</v>
      </c>
      <c r="B157" s="1">
        <v>45712</v>
      </c>
      <c r="C157" t="s">
        <v>40</v>
      </c>
      <c r="D157" t="s">
        <v>41</v>
      </c>
      <c r="E157" t="s">
        <v>26</v>
      </c>
      <c r="F157" t="s">
        <v>60</v>
      </c>
      <c r="G157" t="s">
        <v>22</v>
      </c>
      <c r="H157">
        <v>1</v>
      </c>
      <c r="I157" s="3">
        <v>1890</v>
      </c>
      <c r="J157" s="4">
        <v>0.1</v>
      </c>
      <c r="K157" s="5">
        <v>1701</v>
      </c>
      <c r="L157" t="s">
        <v>23</v>
      </c>
      <c r="M157">
        <v>2</v>
      </c>
    </row>
    <row r="158" spans="1:13">
      <c r="A158" t="s">
        <v>222</v>
      </c>
      <c r="B158" s="1">
        <v>45754</v>
      </c>
      <c r="C158" t="s">
        <v>34</v>
      </c>
      <c r="D158" t="s">
        <v>35</v>
      </c>
      <c r="E158" t="s">
        <v>26</v>
      </c>
      <c r="F158" t="s">
        <v>60</v>
      </c>
      <c r="G158" t="s">
        <v>22</v>
      </c>
      <c r="H158">
        <v>1</v>
      </c>
      <c r="I158" s="3">
        <v>1890</v>
      </c>
      <c r="J158" s="4">
        <v>0.1</v>
      </c>
      <c r="K158" s="5">
        <v>1701</v>
      </c>
      <c r="L158" t="s">
        <v>51</v>
      </c>
      <c r="M158">
        <v>4</v>
      </c>
    </row>
    <row r="159" spans="1:13">
      <c r="A159" t="s">
        <v>289</v>
      </c>
      <c r="B159" s="1">
        <v>45797</v>
      </c>
      <c r="C159" t="s">
        <v>34</v>
      </c>
      <c r="D159" t="s">
        <v>35</v>
      </c>
      <c r="E159" t="s">
        <v>26</v>
      </c>
      <c r="F159" t="s">
        <v>60</v>
      </c>
      <c r="G159" t="s">
        <v>22</v>
      </c>
      <c r="H159">
        <v>1</v>
      </c>
      <c r="I159" s="3">
        <v>1890</v>
      </c>
      <c r="J159" s="4">
        <v>0.1</v>
      </c>
      <c r="K159" s="5">
        <v>1701</v>
      </c>
      <c r="L159" t="s">
        <v>38</v>
      </c>
      <c r="M159">
        <v>1</v>
      </c>
    </row>
    <row r="160" spans="1:13">
      <c r="A160" t="s">
        <v>496</v>
      </c>
      <c r="B160" s="1">
        <v>45932</v>
      </c>
      <c r="C160" t="s">
        <v>31</v>
      </c>
      <c r="D160" t="s">
        <v>15</v>
      </c>
      <c r="E160" t="s">
        <v>26</v>
      </c>
      <c r="F160" t="s">
        <v>60</v>
      </c>
      <c r="G160" t="s">
        <v>2</v>
      </c>
      <c r="H160">
        <v>1</v>
      </c>
      <c r="I160" s="3">
        <v>1890</v>
      </c>
      <c r="J160" s="4">
        <v>0.1</v>
      </c>
      <c r="K160" s="5">
        <v>1701</v>
      </c>
      <c r="L160" t="s">
        <v>51</v>
      </c>
      <c r="M160">
        <v>5</v>
      </c>
    </row>
    <row r="161" spans="1:13">
      <c r="A161" t="s">
        <v>518</v>
      </c>
      <c r="B161" s="1">
        <v>45940</v>
      </c>
      <c r="C161" t="s">
        <v>57</v>
      </c>
      <c r="D161" t="s">
        <v>15</v>
      </c>
      <c r="E161" t="s">
        <v>26</v>
      </c>
      <c r="F161" t="s">
        <v>60</v>
      </c>
      <c r="G161" t="s">
        <v>37</v>
      </c>
      <c r="H161">
        <v>1</v>
      </c>
      <c r="I161" s="3">
        <v>1890</v>
      </c>
      <c r="J161" s="4">
        <v>0.1</v>
      </c>
      <c r="K161" s="5">
        <v>1701</v>
      </c>
      <c r="L161" t="s">
        <v>51</v>
      </c>
      <c r="M161">
        <v>5</v>
      </c>
    </row>
    <row r="162" spans="1:13">
      <c r="A162" t="s">
        <v>534</v>
      </c>
      <c r="B162" s="1">
        <v>45953</v>
      </c>
      <c r="C162" t="s">
        <v>57</v>
      </c>
      <c r="D162" t="s">
        <v>15</v>
      </c>
      <c r="E162" t="s">
        <v>26</v>
      </c>
      <c r="F162" t="s">
        <v>60</v>
      </c>
      <c r="G162" t="s">
        <v>2</v>
      </c>
      <c r="H162">
        <v>1</v>
      </c>
      <c r="I162" s="3">
        <v>1890</v>
      </c>
      <c r="J162" s="4">
        <v>0.1</v>
      </c>
      <c r="K162" s="5">
        <v>1701</v>
      </c>
      <c r="L162" t="s">
        <v>18</v>
      </c>
    </row>
    <row r="163" spans="1:13">
      <c r="A163" t="s">
        <v>629</v>
      </c>
      <c r="B163" s="1">
        <v>46005</v>
      </c>
      <c r="C163" t="s">
        <v>44</v>
      </c>
      <c r="D163" t="s">
        <v>45</v>
      </c>
      <c r="E163" t="s">
        <v>26</v>
      </c>
      <c r="F163" t="s">
        <v>60</v>
      </c>
      <c r="G163" t="s">
        <v>2</v>
      </c>
      <c r="H163">
        <v>1</v>
      </c>
      <c r="I163" s="3">
        <v>1890</v>
      </c>
      <c r="J163" s="4">
        <v>0.1</v>
      </c>
      <c r="K163" s="5">
        <v>1701</v>
      </c>
      <c r="L163" t="s">
        <v>18</v>
      </c>
      <c r="M163">
        <v>4</v>
      </c>
    </row>
    <row r="164" spans="1:13">
      <c r="A164" t="s">
        <v>664</v>
      </c>
      <c r="B164" s="1">
        <v>46022</v>
      </c>
      <c r="C164" t="s">
        <v>25</v>
      </c>
      <c r="D164" t="s">
        <v>15</v>
      </c>
      <c r="E164" t="s">
        <v>26</v>
      </c>
      <c r="F164" t="s">
        <v>60</v>
      </c>
      <c r="G164" t="s">
        <v>2</v>
      </c>
      <c r="H164">
        <v>1</v>
      </c>
      <c r="I164" s="3">
        <v>1890</v>
      </c>
      <c r="J164" s="4">
        <v>0.1</v>
      </c>
      <c r="K164" s="5">
        <v>1701</v>
      </c>
      <c r="L164" t="s">
        <v>23</v>
      </c>
      <c r="M164">
        <v>4</v>
      </c>
    </row>
    <row r="165" spans="1:13">
      <c r="A165" t="s">
        <v>102</v>
      </c>
      <c r="B165" s="1">
        <v>45690</v>
      </c>
      <c r="C165" t="s">
        <v>40</v>
      </c>
      <c r="D165" t="s">
        <v>41</v>
      </c>
      <c r="E165" t="s">
        <v>48</v>
      </c>
      <c r="F165" t="s">
        <v>79</v>
      </c>
      <c r="G165" t="s">
        <v>2</v>
      </c>
      <c r="H165">
        <v>1</v>
      </c>
      <c r="I165" s="3">
        <v>1790</v>
      </c>
      <c r="J165" s="4">
        <v>0.05</v>
      </c>
      <c r="K165" s="5">
        <v>1700.5</v>
      </c>
      <c r="L165" t="s">
        <v>18</v>
      </c>
      <c r="M165">
        <v>4</v>
      </c>
    </row>
    <row r="166" spans="1:13">
      <c r="A166" t="s">
        <v>275</v>
      </c>
      <c r="B166" s="1">
        <v>45787</v>
      </c>
      <c r="C166" t="s">
        <v>14</v>
      </c>
      <c r="D166" t="s">
        <v>15</v>
      </c>
      <c r="E166" t="s">
        <v>48</v>
      </c>
      <c r="F166" t="s">
        <v>79</v>
      </c>
      <c r="G166" t="s">
        <v>2</v>
      </c>
      <c r="H166">
        <v>1</v>
      </c>
      <c r="I166" s="3">
        <v>1790</v>
      </c>
      <c r="J166" s="4">
        <v>0.05</v>
      </c>
      <c r="K166" s="5">
        <v>1700.5</v>
      </c>
      <c r="L166" t="s">
        <v>23</v>
      </c>
      <c r="M166">
        <v>4</v>
      </c>
    </row>
    <row r="167" spans="1:13">
      <c r="A167" t="s">
        <v>287</v>
      </c>
      <c r="B167" s="1">
        <v>45795</v>
      </c>
      <c r="C167" t="s">
        <v>54</v>
      </c>
      <c r="D167" t="s">
        <v>35</v>
      </c>
      <c r="E167" t="s">
        <v>48</v>
      </c>
      <c r="F167" t="s">
        <v>79</v>
      </c>
      <c r="G167" t="s">
        <v>2</v>
      </c>
      <c r="H167">
        <v>1</v>
      </c>
      <c r="I167" s="3">
        <v>1790</v>
      </c>
      <c r="J167" s="4">
        <v>0.05</v>
      </c>
      <c r="K167" s="5">
        <v>1700.5</v>
      </c>
      <c r="L167" t="s">
        <v>23</v>
      </c>
      <c r="M167">
        <v>4</v>
      </c>
    </row>
    <row r="168" spans="1:13">
      <c r="A168" t="s">
        <v>405</v>
      </c>
      <c r="B168" s="1">
        <v>45877</v>
      </c>
      <c r="C168" t="s">
        <v>44</v>
      </c>
      <c r="D168" t="s">
        <v>45</v>
      </c>
      <c r="E168" t="s">
        <v>48</v>
      </c>
      <c r="F168" t="s">
        <v>79</v>
      </c>
      <c r="G168" t="s">
        <v>37</v>
      </c>
      <c r="H168">
        <v>1</v>
      </c>
      <c r="I168" s="3">
        <v>1790</v>
      </c>
      <c r="J168" s="4">
        <v>0.05</v>
      </c>
      <c r="K168" s="5">
        <v>1700.5</v>
      </c>
      <c r="L168" t="s">
        <v>23</v>
      </c>
      <c r="M168">
        <v>5</v>
      </c>
    </row>
    <row r="169" spans="1:13">
      <c r="A169" t="s">
        <v>594</v>
      </c>
      <c r="B169" s="1">
        <v>45985</v>
      </c>
      <c r="C169" t="s">
        <v>44</v>
      </c>
      <c r="D169" t="s">
        <v>45</v>
      </c>
      <c r="E169" t="s">
        <v>48</v>
      </c>
      <c r="F169" t="s">
        <v>79</v>
      </c>
      <c r="G169" t="s">
        <v>2</v>
      </c>
      <c r="H169">
        <v>1</v>
      </c>
      <c r="I169" s="3">
        <v>1790</v>
      </c>
      <c r="J169" s="4">
        <v>0.05</v>
      </c>
      <c r="K169" s="5">
        <v>1700.5</v>
      </c>
      <c r="L169" t="s">
        <v>23</v>
      </c>
      <c r="M169">
        <v>5</v>
      </c>
    </row>
    <row r="170" spans="1:13">
      <c r="A170" t="s">
        <v>348</v>
      </c>
      <c r="B170" s="1">
        <v>45831</v>
      </c>
      <c r="C170" t="s">
        <v>34</v>
      </c>
      <c r="D170" t="s">
        <v>35</v>
      </c>
      <c r="E170" t="s">
        <v>62</v>
      </c>
      <c r="F170" t="s">
        <v>77</v>
      </c>
      <c r="G170" t="s">
        <v>22</v>
      </c>
      <c r="H170">
        <v>2</v>
      </c>
      <c r="I170" s="3">
        <v>899</v>
      </c>
      <c r="J170" s="4">
        <v>0.1</v>
      </c>
      <c r="K170" s="5">
        <v>1618.2</v>
      </c>
      <c r="L170" t="s">
        <v>51</v>
      </c>
      <c r="M170">
        <v>3</v>
      </c>
    </row>
    <row r="171" spans="1:13">
      <c r="A171" t="s">
        <v>88</v>
      </c>
      <c r="B171" s="1">
        <v>45682</v>
      </c>
      <c r="C171" t="s">
        <v>34</v>
      </c>
      <c r="D171" t="s">
        <v>35</v>
      </c>
      <c r="E171" t="s">
        <v>48</v>
      </c>
      <c r="F171" t="s">
        <v>79</v>
      </c>
      <c r="G171" t="s">
        <v>37</v>
      </c>
      <c r="H171">
        <v>1</v>
      </c>
      <c r="I171" s="3">
        <v>1790</v>
      </c>
      <c r="J171" s="4">
        <v>0.1</v>
      </c>
      <c r="K171" s="5">
        <v>1611</v>
      </c>
      <c r="L171" t="s">
        <v>51</v>
      </c>
      <c r="M171">
        <v>3</v>
      </c>
    </row>
    <row r="172" spans="1:13">
      <c r="A172" t="s">
        <v>276</v>
      </c>
      <c r="B172" s="1">
        <v>45791</v>
      </c>
      <c r="C172" t="s">
        <v>34</v>
      </c>
      <c r="D172" t="s">
        <v>35</v>
      </c>
      <c r="E172" t="s">
        <v>48</v>
      </c>
      <c r="F172" t="s">
        <v>79</v>
      </c>
      <c r="G172" t="s">
        <v>2</v>
      </c>
      <c r="H172">
        <v>1</v>
      </c>
      <c r="I172" s="3">
        <v>1790</v>
      </c>
      <c r="J172" s="4">
        <v>0.1</v>
      </c>
      <c r="K172" s="5">
        <v>1611</v>
      </c>
      <c r="L172" t="s">
        <v>18</v>
      </c>
      <c r="M172">
        <v>5</v>
      </c>
    </row>
    <row r="173" spans="1:13">
      <c r="A173" t="s">
        <v>403</v>
      </c>
      <c r="B173" s="1">
        <v>45876</v>
      </c>
      <c r="C173" t="s">
        <v>31</v>
      </c>
      <c r="D173" t="s">
        <v>15</v>
      </c>
      <c r="E173" t="s">
        <v>48</v>
      </c>
      <c r="F173" t="s">
        <v>79</v>
      </c>
      <c r="G173" t="s">
        <v>2</v>
      </c>
      <c r="H173">
        <v>1</v>
      </c>
      <c r="I173" s="3">
        <v>1790</v>
      </c>
      <c r="J173" s="4">
        <v>0.1</v>
      </c>
      <c r="K173" s="5">
        <v>1611</v>
      </c>
      <c r="L173" t="s">
        <v>51</v>
      </c>
      <c r="M173">
        <v>5</v>
      </c>
    </row>
    <row r="174" spans="1:13">
      <c r="A174" t="s">
        <v>589</v>
      </c>
      <c r="B174" s="1">
        <v>45982</v>
      </c>
      <c r="C174" t="s">
        <v>40</v>
      </c>
      <c r="D174" t="s">
        <v>41</v>
      </c>
      <c r="E174" t="s">
        <v>48</v>
      </c>
      <c r="F174" t="s">
        <v>79</v>
      </c>
      <c r="G174" t="s">
        <v>2</v>
      </c>
      <c r="H174">
        <v>1</v>
      </c>
      <c r="I174" s="3">
        <v>1790</v>
      </c>
      <c r="J174" s="4">
        <v>0.1</v>
      </c>
      <c r="K174" s="5">
        <v>1611</v>
      </c>
      <c r="L174" t="s">
        <v>23</v>
      </c>
      <c r="M174">
        <v>4</v>
      </c>
    </row>
    <row r="175" spans="1:13">
      <c r="A175" t="s">
        <v>262</v>
      </c>
      <c r="B175" s="1">
        <v>45780</v>
      </c>
      <c r="C175" t="s">
        <v>54</v>
      </c>
      <c r="D175" t="s">
        <v>35</v>
      </c>
      <c r="E175" t="s">
        <v>26</v>
      </c>
      <c r="F175" t="s">
        <v>60</v>
      </c>
      <c r="G175" t="s">
        <v>2</v>
      </c>
      <c r="H175">
        <v>1</v>
      </c>
      <c r="I175" s="3">
        <v>1890</v>
      </c>
      <c r="J175" s="4">
        <v>0.15</v>
      </c>
      <c r="K175" s="5">
        <v>1606.5</v>
      </c>
      <c r="L175" t="s">
        <v>23</v>
      </c>
      <c r="M175">
        <v>4</v>
      </c>
    </row>
    <row r="176" spans="1:13">
      <c r="A176" t="s">
        <v>328</v>
      </c>
      <c r="B176" s="1">
        <v>45819</v>
      </c>
      <c r="C176" t="s">
        <v>54</v>
      </c>
      <c r="D176" t="s">
        <v>35</v>
      </c>
      <c r="E176" t="s">
        <v>26</v>
      </c>
      <c r="F176" t="s">
        <v>60</v>
      </c>
      <c r="G176" t="s">
        <v>22</v>
      </c>
      <c r="H176">
        <v>1</v>
      </c>
      <c r="I176" s="3">
        <v>1890</v>
      </c>
      <c r="J176" s="4">
        <v>0.15</v>
      </c>
      <c r="K176" s="5">
        <v>1606.5</v>
      </c>
      <c r="L176" t="s">
        <v>23</v>
      </c>
      <c r="M176">
        <v>5</v>
      </c>
    </row>
    <row r="177" spans="1:13">
      <c r="A177" t="s">
        <v>387</v>
      </c>
      <c r="B177" s="1">
        <v>45861</v>
      </c>
      <c r="C177" t="s">
        <v>40</v>
      </c>
      <c r="D177" t="s">
        <v>41</v>
      </c>
      <c r="E177" t="s">
        <v>26</v>
      </c>
      <c r="F177" t="s">
        <v>60</v>
      </c>
      <c r="G177" t="s">
        <v>37</v>
      </c>
      <c r="H177">
        <v>1</v>
      </c>
      <c r="I177" s="3">
        <v>1890</v>
      </c>
      <c r="J177" s="4">
        <v>0.15</v>
      </c>
      <c r="K177" s="5">
        <v>1606.5</v>
      </c>
      <c r="L177" t="s">
        <v>38</v>
      </c>
      <c r="M177">
        <v>3</v>
      </c>
    </row>
    <row r="178" spans="1:13">
      <c r="A178" t="s">
        <v>461</v>
      </c>
      <c r="B178" s="1">
        <v>45914</v>
      </c>
      <c r="C178" t="s">
        <v>14</v>
      </c>
      <c r="D178" t="s">
        <v>15</v>
      </c>
      <c r="E178" t="s">
        <v>26</v>
      </c>
      <c r="F178" t="s">
        <v>60</v>
      </c>
      <c r="G178" t="s">
        <v>22</v>
      </c>
      <c r="H178">
        <v>1</v>
      </c>
      <c r="I178" s="3">
        <v>1890</v>
      </c>
      <c r="J178" s="4">
        <v>0.15</v>
      </c>
      <c r="K178" s="5">
        <v>1606.5</v>
      </c>
      <c r="L178" t="s">
        <v>18</v>
      </c>
      <c r="M178">
        <v>4</v>
      </c>
    </row>
    <row r="179" spans="1:13">
      <c r="A179" t="s">
        <v>396</v>
      </c>
      <c r="B179" s="1">
        <v>45870</v>
      </c>
      <c r="C179" t="s">
        <v>31</v>
      </c>
      <c r="D179" t="s">
        <v>15</v>
      </c>
      <c r="E179" t="s">
        <v>48</v>
      </c>
      <c r="F179" t="s">
        <v>79</v>
      </c>
      <c r="G179" t="s">
        <v>2</v>
      </c>
      <c r="H179">
        <v>1</v>
      </c>
      <c r="I179" s="3">
        <v>1790</v>
      </c>
      <c r="J179" s="4">
        <v>0.15</v>
      </c>
      <c r="K179" s="5">
        <v>1521.5</v>
      </c>
      <c r="L179" t="s">
        <v>23</v>
      </c>
      <c r="M179">
        <v>3</v>
      </c>
    </row>
    <row r="180" spans="1:13">
      <c r="A180" t="s">
        <v>642</v>
      </c>
      <c r="B180" s="1">
        <v>46012</v>
      </c>
      <c r="C180" t="s">
        <v>54</v>
      </c>
      <c r="D180" t="s">
        <v>35</v>
      </c>
      <c r="E180" t="s">
        <v>48</v>
      </c>
      <c r="F180" t="s">
        <v>79</v>
      </c>
      <c r="G180" t="s">
        <v>22</v>
      </c>
      <c r="H180">
        <v>1</v>
      </c>
      <c r="I180" s="3">
        <v>1790</v>
      </c>
      <c r="J180" s="4">
        <v>0.15</v>
      </c>
      <c r="K180" s="5">
        <v>1521.5</v>
      </c>
      <c r="L180" t="s">
        <v>23</v>
      </c>
      <c r="M180">
        <v>4</v>
      </c>
    </row>
    <row r="181" spans="1:13">
      <c r="A181" t="s">
        <v>133</v>
      </c>
      <c r="B181" s="1">
        <v>45701</v>
      </c>
      <c r="C181" t="s">
        <v>54</v>
      </c>
      <c r="D181" t="s">
        <v>35</v>
      </c>
      <c r="E181" t="s">
        <v>26</v>
      </c>
      <c r="F181" t="s">
        <v>60</v>
      </c>
      <c r="G181" t="s">
        <v>2</v>
      </c>
      <c r="H181">
        <v>1</v>
      </c>
      <c r="I181" s="3">
        <v>1890</v>
      </c>
      <c r="J181" s="4">
        <v>0.2</v>
      </c>
      <c r="K181" s="5">
        <v>1512</v>
      </c>
      <c r="L181" t="s">
        <v>23</v>
      </c>
    </row>
    <row r="182" spans="1:13">
      <c r="A182" t="s">
        <v>661</v>
      </c>
      <c r="B182" s="1">
        <v>46022</v>
      </c>
      <c r="C182" t="s">
        <v>25</v>
      </c>
      <c r="D182" t="s">
        <v>15</v>
      </c>
      <c r="E182" t="s">
        <v>26</v>
      </c>
      <c r="F182" t="s">
        <v>27</v>
      </c>
      <c r="G182" t="s">
        <v>2</v>
      </c>
      <c r="H182">
        <v>2</v>
      </c>
      <c r="I182" s="3">
        <v>699</v>
      </c>
      <c r="J182" s="4">
        <v>0</v>
      </c>
      <c r="K182" s="5">
        <v>1398</v>
      </c>
      <c r="L182" t="s">
        <v>38</v>
      </c>
      <c r="M182">
        <v>4</v>
      </c>
    </row>
    <row r="183" spans="1:13">
      <c r="A183" t="s">
        <v>205</v>
      </c>
      <c r="B183" s="1">
        <v>45742</v>
      </c>
      <c r="C183" t="s">
        <v>31</v>
      </c>
      <c r="D183" t="s">
        <v>15</v>
      </c>
      <c r="E183" t="s">
        <v>26</v>
      </c>
      <c r="F183" t="s">
        <v>27</v>
      </c>
      <c r="G183" t="s">
        <v>22</v>
      </c>
      <c r="H183">
        <v>2</v>
      </c>
      <c r="I183" s="3">
        <v>699</v>
      </c>
      <c r="J183" s="4">
        <v>0.05</v>
      </c>
      <c r="K183" s="5">
        <v>1328.1</v>
      </c>
      <c r="L183" t="s">
        <v>23</v>
      </c>
    </row>
    <row r="184" spans="1:13">
      <c r="A184" t="s">
        <v>99</v>
      </c>
      <c r="B184" s="1">
        <v>45687</v>
      </c>
      <c r="C184" t="s">
        <v>44</v>
      </c>
      <c r="D184" t="s">
        <v>45</v>
      </c>
      <c r="E184" t="s">
        <v>62</v>
      </c>
      <c r="F184" t="s">
        <v>100</v>
      </c>
      <c r="G184" t="s">
        <v>2</v>
      </c>
      <c r="H184">
        <v>1</v>
      </c>
      <c r="I184" s="3">
        <v>1190</v>
      </c>
      <c r="J184" s="4">
        <v>0</v>
      </c>
      <c r="K184" s="5">
        <v>1190</v>
      </c>
      <c r="L184" t="s">
        <v>51</v>
      </c>
      <c r="M184">
        <v>4</v>
      </c>
    </row>
    <row r="185" spans="1:13">
      <c r="A185" t="s">
        <v>104</v>
      </c>
      <c r="B185" s="1">
        <v>45690</v>
      </c>
      <c r="C185" t="s">
        <v>14</v>
      </c>
      <c r="D185" t="s">
        <v>15</v>
      </c>
      <c r="E185" t="s">
        <v>62</v>
      </c>
      <c r="F185" t="s">
        <v>100</v>
      </c>
      <c r="G185" t="s">
        <v>22</v>
      </c>
      <c r="H185">
        <v>1</v>
      </c>
      <c r="I185" s="3">
        <v>1190</v>
      </c>
      <c r="J185" s="4">
        <v>0</v>
      </c>
      <c r="K185" s="5">
        <v>1190</v>
      </c>
      <c r="L185" t="s">
        <v>23</v>
      </c>
      <c r="M185">
        <v>5</v>
      </c>
    </row>
    <row r="186" spans="1:13">
      <c r="A186" t="s">
        <v>113</v>
      </c>
      <c r="B186" s="1">
        <v>45693</v>
      </c>
      <c r="C186" t="s">
        <v>14</v>
      </c>
      <c r="D186" t="s">
        <v>15</v>
      </c>
      <c r="E186" t="s">
        <v>62</v>
      </c>
      <c r="F186" t="s">
        <v>100</v>
      </c>
      <c r="G186" t="s">
        <v>2</v>
      </c>
      <c r="H186">
        <v>1</v>
      </c>
      <c r="I186" s="3">
        <v>1190</v>
      </c>
      <c r="J186" s="4">
        <v>0</v>
      </c>
      <c r="K186" s="5">
        <v>1190</v>
      </c>
      <c r="L186" t="s">
        <v>23</v>
      </c>
      <c r="M186">
        <v>5</v>
      </c>
    </row>
    <row r="187" spans="1:13">
      <c r="A187" t="s">
        <v>127</v>
      </c>
      <c r="B187" s="1">
        <v>45700</v>
      </c>
      <c r="C187" t="s">
        <v>54</v>
      </c>
      <c r="D187" t="s">
        <v>35</v>
      </c>
      <c r="E187" t="s">
        <v>62</v>
      </c>
      <c r="F187" t="s">
        <v>100</v>
      </c>
      <c r="G187" t="s">
        <v>2</v>
      </c>
      <c r="H187">
        <v>1</v>
      </c>
      <c r="I187" s="3">
        <v>1190</v>
      </c>
      <c r="J187" s="4">
        <v>0</v>
      </c>
      <c r="K187" s="5">
        <v>1190</v>
      </c>
      <c r="L187" t="s">
        <v>38</v>
      </c>
      <c r="M187">
        <v>5</v>
      </c>
    </row>
    <row r="188" spans="1:13">
      <c r="A188" t="s">
        <v>155</v>
      </c>
      <c r="B188" s="1">
        <v>45715</v>
      </c>
      <c r="C188" t="s">
        <v>34</v>
      </c>
      <c r="D188" t="s">
        <v>35</v>
      </c>
      <c r="E188" t="s">
        <v>62</v>
      </c>
      <c r="F188" t="s">
        <v>100</v>
      </c>
      <c r="G188" t="s">
        <v>22</v>
      </c>
      <c r="H188">
        <v>1</v>
      </c>
      <c r="I188" s="3">
        <v>1190</v>
      </c>
      <c r="J188" s="4">
        <v>0</v>
      </c>
      <c r="K188" s="5">
        <v>1190</v>
      </c>
      <c r="L188" t="s">
        <v>18</v>
      </c>
      <c r="M188">
        <v>3</v>
      </c>
    </row>
    <row r="189" spans="1:13">
      <c r="A189" t="s">
        <v>191</v>
      </c>
      <c r="B189" s="1">
        <v>45732</v>
      </c>
      <c r="C189" t="s">
        <v>57</v>
      </c>
      <c r="D189" t="s">
        <v>15</v>
      </c>
      <c r="E189" t="s">
        <v>62</v>
      </c>
      <c r="F189" t="s">
        <v>100</v>
      </c>
      <c r="G189" t="s">
        <v>22</v>
      </c>
      <c r="H189">
        <v>1</v>
      </c>
      <c r="I189" s="3">
        <v>1190</v>
      </c>
      <c r="J189" s="4">
        <v>0</v>
      </c>
      <c r="K189" s="5">
        <v>1190</v>
      </c>
      <c r="L189" t="s">
        <v>23</v>
      </c>
      <c r="M189">
        <v>1</v>
      </c>
    </row>
    <row r="190" spans="1:13">
      <c r="A190" t="s">
        <v>304</v>
      </c>
      <c r="B190" s="1">
        <v>45810</v>
      </c>
      <c r="C190" t="s">
        <v>40</v>
      </c>
      <c r="D190" t="s">
        <v>41</v>
      </c>
      <c r="E190" t="s">
        <v>62</v>
      </c>
      <c r="F190" t="s">
        <v>100</v>
      </c>
      <c r="G190" t="s">
        <v>22</v>
      </c>
      <c r="H190">
        <v>1</v>
      </c>
      <c r="I190" s="3">
        <v>1190</v>
      </c>
      <c r="J190" s="4">
        <v>0</v>
      </c>
      <c r="K190" s="5">
        <v>1190</v>
      </c>
      <c r="L190" t="s">
        <v>23</v>
      </c>
      <c r="M190">
        <v>5</v>
      </c>
    </row>
    <row r="191" spans="1:13">
      <c r="A191" t="s">
        <v>341</v>
      </c>
      <c r="B191" s="1">
        <v>45827</v>
      </c>
      <c r="C191" t="s">
        <v>14</v>
      </c>
      <c r="D191" t="s">
        <v>15</v>
      </c>
      <c r="E191" t="s">
        <v>62</v>
      </c>
      <c r="F191" t="s">
        <v>100</v>
      </c>
      <c r="G191" t="s">
        <v>37</v>
      </c>
      <c r="H191">
        <v>1</v>
      </c>
      <c r="I191" s="3">
        <v>1190</v>
      </c>
      <c r="J191" s="4">
        <v>0</v>
      </c>
      <c r="K191" s="5">
        <v>1190</v>
      </c>
      <c r="L191" t="s">
        <v>23</v>
      </c>
      <c r="M191">
        <v>4</v>
      </c>
    </row>
    <row r="192" spans="1:13">
      <c r="A192" t="s">
        <v>390</v>
      </c>
      <c r="B192" s="1">
        <v>45862</v>
      </c>
      <c r="C192" t="s">
        <v>40</v>
      </c>
      <c r="D192" t="s">
        <v>41</v>
      </c>
      <c r="E192" t="s">
        <v>62</v>
      </c>
      <c r="F192" t="s">
        <v>100</v>
      </c>
      <c r="G192" t="s">
        <v>2</v>
      </c>
      <c r="H192">
        <v>1</v>
      </c>
      <c r="I192" s="3">
        <v>1190</v>
      </c>
      <c r="J192" s="4">
        <v>0</v>
      </c>
      <c r="K192" s="5">
        <v>1190</v>
      </c>
      <c r="L192" t="s">
        <v>23</v>
      </c>
      <c r="M192">
        <v>4</v>
      </c>
    </row>
    <row r="193" spans="1:13">
      <c r="A193" t="s">
        <v>427</v>
      </c>
      <c r="B193" s="1">
        <v>45895</v>
      </c>
      <c r="C193" t="s">
        <v>40</v>
      </c>
      <c r="D193" t="s">
        <v>41</v>
      </c>
      <c r="E193" t="s">
        <v>62</v>
      </c>
      <c r="F193" t="s">
        <v>100</v>
      </c>
      <c r="G193" t="s">
        <v>2</v>
      </c>
      <c r="H193">
        <v>1</v>
      </c>
      <c r="I193" s="3">
        <v>1190</v>
      </c>
      <c r="J193" s="4">
        <v>0</v>
      </c>
      <c r="K193" s="5">
        <v>1190</v>
      </c>
      <c r="L193" t="s">
        <v>23</v>
      </c>
      <c r="M193">
        <v>4</v>
      </c>
    </row>
    <row r="194" spans="1:13">
      <c r="A194" t="s">
        <v>520</v>
      </c>
      <c r="B194" s="1">
        <v>45943</v>
      </c>
      <c r="C194" t="s">
        <v>25</v>
      </c>
      <c r="D194" t="s">
        <v>15</v>
      </c>
      <c r="E194" t="s">
        <v>62</v>
      </c>
      <c r="F194" t="s">
        <v>100</v>
      </c>
      <c r="G194" t="s">
        <v>2</v>
      </c>
      <c r="H194">
        <v>1</v>
      </c>
      <c r="I194" s="3">
        <v>1190</v>
      </c>
      <c r="J194" s="4">
        <v>0</v>
      </c>
      <c r="K194" s="5">
        <v>1190</v>
      </c>
      <c r="L194" t="s">
        <v>23</v>
      </c>
      <c r="M194">
        <v>5</v>
      </c>
    </row>
    <row r="195" spans="1:13">
      <c r="A195" t="s">
        <v>525</v>
      </c>
      <c r="B195" s="1">
        <v>45948</v>
      </c>
      <c r="C195" t="s">
        <v>40</v>
      </c>
      <c r="D195" t="s">
        <v>41</v>
      </c>
      <c r="E195" t="s">
        <v>62</v>
      </c>
      <c r="F195" t="s">
        <v>100</v>
      </c>
      <c r="G195" t="s">
        <v>37</v>
      </c>
      <c r="H195">
        <v>1</v>
      </c>
      <c r="I195" s="3">
        <v>1190</v>
      </c>
      <c r="J195" s="4">
        <v>0</v>
      </c>
      <c r="K195" s="5">
        <v>1190</v>
      </c>
      <c r="L195" t="s">
        <v>23</v>
      </c>
      <c r="M195">
        <v>5</v>
      </c>
    </row>
    <row r="196" spans="1:13">
      <c r="A196" t="s">
        <v>530</v>
      </c>
      <c r="B196" s="1">
        <v>45949</v>
      </c>
      <c r="C196" t="s">
        <v>40</v>
      </c>
      <c r="D196" t="s">
        <v>41</v>
      </c>
      <c r="E196" t="s">
        <v>62</v>
      </c>
      <c r="F196" t="s">
        <v>100</v>
      </c>
      <c r="G196" t="s">
        <v>2</v>
      </c>
      <c r="H196">
        <v>1</v>
      </c>
      <c r="I196" s="3">
        <v>1190</v>
      </c>
      <c r="J196" s="4">
        <v>0</v>
      </c>
      <c r="K196" s="5">
        <v>1190</v>
      </c>
      <c r="L196" t="s">
        <v>23</v>
      </c>
      <c r="M196">
        <v>5</v>
      </c>
    </row>
    <row r="197" spans="1:13">
      <c r="A197" t="s">
        <v>571</v>
      </c>
      <c r="B197" s="1">
        <v>45971</v>
      </c>
      <c r="C197" t="s">
        <v>54</v>
      </c>
      <c r="D197" t="s">
        <v>35</v>
      </c>
      <c r="E197" t="s">
        <v>62</v>
      </c>
      <c r="F197" t="s">
        <v>100</v>
      </c>
      <c r="G197" t="s">
        <v>37</v>
      </c>
      <c r="H197">
        <v>1</v>
      </c>
      <c r="I197" s="3">
        <v>1190</v>
      </c>
      <c r="J197" s="4">
        <v>0</v>
      </c>
      <c r="K197" s="5">
        <v>1190</v>
      </c>
      <c r="L197" t="s">
        <v>18</v>
      </c>
      <c r="M197">
        <v>5</v>
      </c>
    </row>
    <row r="198" spans="1:13">
      <c r="A198" t="s">
        <v>620</v>
      </c>
      <c r="B198" s="1">
        <v>45999</v>
      </c>
      <c r="C198" t="s">
        <v>44</v>
      </c>
      <c r="D198" t="s">
        <v>45</v>
      </c>
      <c r="E198" t="s">
        <v>62</v>
      </c>
      <c r="F198" t="s">
        <v>100</v>
      </c>
      <c r="G198" t="s">
        <v>22</v>
      </c>
      <c r="H198">
        <v>1</v>
      </c>
      <c r="I198" s="3">
        <v>1190</v>
      </c>
      <c r="J198" s="4">
        <v>0</v>
      </c>
      <c r="K198" s="5">
        <v>1190</v>
      </c>
      <c r="L198" t="s">
        <v>23</v>
      </c>
      <c r="M198">
        <v>5</v>
      </c>
    </row>
    <row r="199" spans="1:13">
      <c r="A199" t="s">
        <v>662</v>
      </c>
      <c r="B199" s="1">
        <v>46022</v>
      </c>
      <c r="C199" t="s">
        <v>14</v>
      </c>
      <c r="D199" t="s">
        <v>15</v>
      </c>
      <c r="E199" t="s">
        <v>62</v>
      </c>
      <c r="F199" t="s">
        <v>100</v>
      </c>
      <c r="G199" t="s">
        <v>2</v>
      </c>
      <c r="H199">
        <v>1</v>
      </c>
      <c r="I199" s="3">
        <v>1190</v>
      </c>
      <c r="J199" s="4">
        <v>0</v>
      </c>
      <c r="K199" s="5">
        <v>1190</v>
      </c>
      <c r="L199" t="s">
        <v>23</v>
      </c>
      <c r="M199">
        <v>5</v>
      </c>
    </row>
    <row r="200" spans="1:13">
      <c r="A200" t="s">
        <v>161</v>
      </c>
      <c r="B200" s="1">
        <v>45718</v>
      </c>
      <c r="C200" t="s">
        <v>40</v>
      </c>
      <c r="D200" t="s">
        <v>41</v>
      </c>
      <c r="E200" t="s">
        <v>62</v>
      </c>
      <c r="F200" t="s">
        <v>100</v>
      </c>
      <c r="G200" t="s">
        <v>22</v>
      </c>
      <c r="H200">
        <v>1</v>
      </c>
      <c r="I200" s="3">
        <v>1190</v>
      </c>
      <c r="J200" s="4">
        <v>0.05</v>
      </c>
      <c r="K200" s="5">
        <v>1130.5</v>
      </c>
      <c r="L200" t="s">
        <v>23</v>
      </c>
      <c r="M200">
        <v>5</v>
      </c>
    </row>
    <row r="201" spans="1:13">
      <c r="A201" t="s">
        <v>490</v>
      </c>
      <c r="B201" s="1">
        <v>45929</v>
      </c>
      <c r="C201" t="s">
        <v>40</v>
      </c>
      <c r="D201" t="s">
        <v>41</v>
      </c>
      <c r="E201" t="s">
        <v>26</v>
      </c>
      <c r="F201" t="s">
        <v>27</v>
      </c>
      <c r="G201" t="s">
        <v>22</v>
      </c>
      <c r="H201">
        <v>2</v>
      </c>
      <c r="I201" s="3">
        <v>699</v>
      </c>
      <c r="J201" s="4">
        <v>0.2</v>
      </c>
      <c r="K201" s="5">
        <v>1118.4000000000001</v>
      </c>
      <c r="L201" t="s">
        <v>23</v>
      </c>
      <c r="M201">
        <v>4</v>
      </c>
    </row>
    <row r="202" spans="1:13">
      <c r="A202" t="s">
        <v>257</v>
      </c>
      <c r="B202" s="1">
        <v>45778</v>
      </c>
      <c r="C202" t="s">
        <v>34</v>
      </c>
      <c r="D202" t="s">
        <v>35</v>
      </c>
      <c r="E202" t="s">
        <v>26</v>
      </c>
      <c r="F202" t="s">
        <v>29</v>
      </c>
      <c r="G202" t="s">
        <v>2</v>
      </c>
      <c r="H202">
        <v>2</v>
      </c>
      <c r="I202" s="3">
        <v>549</v>
      </c>
      <c r="J202" s="4">
        <v>0</v>
      </c>
      <c r="K202" s="5">
        <v>1098</v>
      </c>
      <c r="L202" t="s">
        <v>38</v>
      </c>
      <c r="M202">
        <v>4</v>
      </c>
    </row>
    <row r="203" spans="1:13">
      <c r="A203" t="s">
        <v>442</v>
      </c>
      <c r="B203" s="1">
        <v>45905</v>
      </c>
      <c r="C203" t="s">
        <v>31</v>
      </c>
      <c r="D203" t="s">
        <v>15</v>
      </c>
      <c r="E203" t="s">
        <v>26</v>
      </c>
      <c r="F203" t="s">
        <v>29</v>
      </c>
      <c r="G203" t="s">
        <v>22</v>
      </c>
      <c r="H203">
        <v>2</v>
      </c>
      <c r="I203" s="3">
        <v>549</v>
      </c>
      <c r="J203" s="4">
        <v>0</v>
      </c>
      <c r="K203" s="5">
        <v>1098</v>
      </c>
      <c r="L203" t="s">
        <v>51</v>
      </c>
      <c r="M203">
        <v>2</v>
      </c>
    </row>
    <row r="204" spans="1:13">
      <c r="A204" t="s">
        <v>342</v>
      </c>
      <c r="B204" s="1">
        <v>45827</v>
      </c>
      <c r="C204" t="s">
        <v>31</v>
      </c>
      <c r="D204" t="s">
        <v>15</v>
      </c>
      <c r="E204" t="s">
        <v>62</v>
      </c>
      <c r="F204" t="s">
        <v>100</v>
      </c>
      <c r="G204" t="s">
        <v>22</v>
      </c>
      <c r="H204">
        <v>1</v>
      </c>
      <c r="I204" s="3">
        <v>1190</v>
      </c>
      <c r="J204" s="4">
        <v>0.15</v>
      </c>
      <c r="K204" s="5">
        <v>1011.5</v>
      </c>
      <c r="L204" t="s">
        <v>38</v>
      </c>
      <c r="M204">
        <v>4</v>
      </c>
    </row>
    <row r="205" spans="1:13">
      <c r="A205" t="s">
        <v>312</v>
      </c>
      <c r="B205" s="1">
        <v>45813</v>
      </c>
      <c r="C205" t="s">
        <v>31</v>
      </c>
      <c r="D205" t="s">
        <v>15</v>
      </c>
      <c r="E205" t="s">
        <v>62</v>
      </c>
      <c r="F205" t="s">
        <v>100</v>
      </c>
      <c r="G205" t="s">
        <v>37</v>
      </c>
      <c r="H205">
        <v>1</v>
      </c>
      <c r="I205" s="3">
        <v>1190</v>
      </c>
      <c r="J205" s="4">
        <v>0.2</v>
      </c>
      <c r="K205" s="5">
        <v>952</v>
      </c>
      <c r="L205" t="s">
        <v>18</v>
      </c>
      <c r="M205">
        <v>4</v>
      </c>
    </row>
    <row r="206" spans="1:13">
      <c r="A206" t="s">
        <v>76</v>
      </c>
      <c r="B206" s="1">
        <v>45674</v>
      </c>
      <c r="C206" t="s">
        <v>34</v>
      </c>
      <c r="D206" t="s">
        <v>35</v>
      </c>
      <c r="E206" t="s">
        <v>62</v>
      </c>
      <c r="F206" t="s">
        <v>77</v>
      </c>
      <c r="G206" t="s">
        <v>22</v>
      </c>
      <c r="H206">
        <v>1</v>
      </c>
      <c r="I206" s="3">
        <v>899</v>
      </c>
      <c r="J206" s="4">
        <v>0</v>
      </c>
      <c r="K206" s="5">
        <v>899</v>
      </c>
      <c r="L206" t="s">
        <v>23</v>
      </c>
      <c r="M206">
        <v>4</v>
      </c>
    </row>
    <row r="207" spans="1:13">
      <c r="A207" t="s">
        <v>81</v>
      </c>
      <c r="B207" s="1">
        <v>45679</v>
      </c>
      <c r="C207" t="s">
        <v>31</v>
      </c>
      <c r="D207" t="s">
        <v>15</v>
      </c>
      <c r="E207" t="s">
        <v>62</v>
      </c>
      <c r="F207" t="s">
        <v>77</v>
      </c>
      <c r="G207" t="s">
        <v>22</v>
      </c>
      <c r="H207">
        <v>1</v>
      </c>
      <c r="I207" s="3">
        <v>899</v>
      </c>
      <c r="J207" s="4">
        <v>0</v>
      </c>
      <c r="K207" s="5">
        <v>899</v>
      </c>
      <c r="L207" t="s">
        <v>23</v>
      </c>
      <c r="M207">
        <v>5</v>
      </c>
    </row>
    <row r="208" spans="1:13">
      <c r="A208" t="s">
        <v>91</v>
      </c>
      <c r="B208" s="1">
        <v>45683</v>
      </c>
      <c r="C208" t="s">
        <v>34</v>
      </c>
      <c r="D208" t="s">
        <v>35</v>
      </c>
      <c r="E208" t="s">
        <v>62</v>
      </c>
      <c r="F208" t="s">
        <v>77</v>
      </c>
      <c r="G208" t="s">
        <v>2</v>
      </c>
      <c r="H208">
        <v>1</v>
      </c>
      <c r="I208" s="3">
        <v>899</v>
      </c>
      <c r="J208" s="4">
        <v>0</v>
      </c>
      <c r="K208" s="5">
        <v>899</v>
      </c>
      <c r="L208" t="s">
        <v>23</v>
      </c>
    </row>
    <row r="209" spans="1:13">
      <c r="A209" t="s">
        <v>135</v>
      </c>
      <c r="B209" s="1">
        <v>45703</v>
      </c>
      <c r="C209" t="s">
        <v>14</v>
      </c>
      <c r="D209" t="s">
        <v>15</v>
      </c>
      <c r="E209" t="s">
        <v>62</v>
      </c>
      <c r="F209" t="s">
        <v>77</v>
      </c>
      <c r="G209" t="s">
        <v>2</v>
      </c>
      <c r="H209">
        <v>1</v>
      </c>
      <c r="I209" s="3">
        <v>899</v>
      </c>
      <c r="J209" s="4">
        <v>0</v>
      </c>
      <c r="K209" s="5">
        <v>899</v>
      </c>
      <c r="L209" t="s">
        <v>23</v>
      </c>
      <c r="M209">
        <v>3</v>
      </c>
    </row>
    <row r="210" spans="1:13">
      <c r="A210" t="s">
        <v>145</v>
      </c>
      <c r="B210" s="1">
        <v>45709</v>
      </c>
      <c r="C210" t="s">
        <v>34</v>
      </c>
      <c r="D210" t="s">
        <v>35</v>
      </c>
      <c r="E210" t="s">
        <v>62</v>
      </c>
      <c r="F210" t="s">
        <v>77</v>
      </c>
      <c r="G210" t="s">
        <v>2</v>
      </c>
      <c r="H210">
        <v>1</v>
      </c>
      <c r="I210" s="3">
        <v>899</v>
      </c>
      <c r="J210" s="4">
        <v>0</v>
      </c>
      <c r="K210" s="5">
        <v>899</v>
      </c>
      <c r="L210" t="s">
        <v>51</v>
      </c>
      <c r="M210">
        <v>4</v>
      </c>
    </row>
    <row r="211" spans="1:13">
      <c r="A211" t="s">
        <v>237</v>
      </c>
      <c r="B211" s="1">
        <v>45766</v>
      </c>
      <c r="C211" t="s">
        <v>31</v>
      </c>
      <c r="D211" t="s">
        <v>15</v>
      </c>
      <c r="E211" t="s">
        <v>62</v>
      </c>
      <c r="F211" t="s">
        <v>77</v>
      </c>
      <c r="G211" t="s">
        <v>22</v>
      </c>
      <c r="H211">
        <v>1</v>
      </c>
      <c r="I211" s="3">
        <v>899</v>
      </c>
      <c r="J211" s="4">
        <v>0</v>
      </c>
      <c r="K211" s="5">
        <v>899</v>
      </c>
      <c r="L211" t="s">
        <v>23</v>
      </c>
      <c r="M211">
        <v>5</v>
      </c>
    </row>
    <row r="212" spans="1:13">
      <c r="A212" t="s">
        <v>243</v>
      </c>
      <c r="B212" s="1">
        <v>45769</v>
      </c>
      <c r="C212" t="s">
        <v>44</v>
      </c>
      <c r="D212" t="s">
        <v>45</v>
      </c>
      <c r="E212" t="s">
        <v>62</v>
      </c>
      <c r="F212" t="s">
        <v>77</v>
      </c>
      <c r="G212" t="s">
        <v>2</v>
      </c>
      <c r="H212">
        <v>1</v>
      </c>
      <c r="I212" s="3">
        <v>899</v>
      </c>
      <c r="J212" s="4">
        <v>0</v>
      </c>
      <c r="K212" s="5">
        <v>899</v>
      </c>
      <c r="L212" t="s">
        <v>23</v>
      </c>
      <c r="M212">
        <v>4</v>
      </c>
    </row>
    <row r="213" spans="1:13">
      <c r="A213" t="s">
        <v>267</v>
      </c>
      <c r="B213" s="1">
        <v>45784</v>
      </c>
      <c r="C213" t="s">
        <v>25</v>
      </c>
      <c r="D213" t="s">
        <v>15</v>
      </c>
      <c r="E213" t="s">
        <v>62</v>
      </c>
      <c r="F213" t="s">
        <v>77</v>
      </c>
      <c r="G213" t="s">
        <v>22</v>
      </c>
      <c r="H213">
        <v>1</v>
      </c>
      <c r="I213" s="3">
        <v>899</v>
      </c>
      <c r="J213" s="4">
        <v>0</v>
      </c>
      <c r="K213" s="5">
        <v>899</v>
      </c>
      <c r="L213" t="s">
        <v>23</v>
      </c>
      <c r="M213">
        <v>4</v>
      </c>
    </row>
    <row r="214" spans="1:13">
      <c r="A214" t="s">
        <v>321</v>
      </c>
      <c r="B214" s="1">
        <v>45817</v>
      </c>
      <c r="C214" t="s">
        <v>14</v>
      </c>
      <c r="D214" t="s">
        <v>15</v>
      </c>
      <c r="E214" t="s">
        <v>62</v>
      </c>
      <c r="F214" t="s">
        <v>77</v>
      </c>
      <c r="G214" t="s">
        <v>2</v>
      </c>
      <c r="H214">
        <v>1</v>
      </c>
      <c r="I214" s="3">
        <v>899</v>
      </c>
      <c r="J214" s="4">
        <v>0</v>
      </c>
      <c r="K214" s="5">
        <v>899</v>
      </c>
      <c r="L214" t="s">
        <v>23</v>
      </c>
      <c r="M214">
        <v>5</v>
      </c>
    </row>
    <row r="215" spans="1:13">
      <c r="A215" t="s">
        <v>355</v>
      </c>
      <c r="B215" s="1">
        <v>45840</v>
      </c>
      <c r="C215" t="s">
        <v>40</v>
      </c>
      <c r="D215" t="s">
        <v>41</v>
      </c>
      <c r="E215" t="s">
        <v>62</v>
      </c>
      <c r="F215" t="s">
        <v>77</v>
      </c>
      <c r="G215" t="s">
        <v>22</v>
      </c>
      <c r="H215">
        <v>1</v>
      </c>
      <c r="I215" s="3">
        <v>899</v>
      </c>
      <c r="J215" s="4">
        <v>0</v>
      </c>
      <c r="K215" s="5">
        <v>899</v>
      </c>
      <c r="L215" t="s">
        <v>23</v>
      </c>
      <c r="M215">
        <v>4</v>
      </c>
    </row>
    <row r="216" spans="1:13">
      <c r="A216" t="s">
        <v>410</v>
      </c>
      <c r="B216" s="1">
        <v>45880</v>
      </c>
      <c r="C216" t="s">
        <v>14</v>
      </c>
      <c r="D216" t="s">
        <v>15</v>
      </c>
      <c r="E216" t="s">
        <v>62</v>
      </c>
      <c r="F216" t="s">
        <v>77</v>
      </c>
      <c r="G216" t="s">
        <v>37</v>
      </c>
      <c r="H216">
        <v>1</v>
      </c>
      <c r="I216" s="3">
        <v>899</v>
      </c>
      <c r="J216" s="4">
        <v>0</v>
      </c>
      <c r="K216" s="5">
        <v>899</v>
      </c>
      <c r="L216" t="s">
        <v>23</v>
      </c>
      <c r="M216">
        <v>5</v>
      </c>
    </row>
    <row r="217" spans="1:13">
      <c r="A217" t="s">
        <v>494</v>
      </c>
      <c r="B217" s="1">
        <v>45929</v>
      </c>
      <c r="C217" t="s">
        <v>34</v>
      </c>
      <c r="D217" t="s">
        <v>35</v>
      </c>
      <c r="E217" t="s">
        <v>62</v>
      </c>
      <c r="F217" t="s">
        <v>77</v>
      </c>
      <c r="G217" t="s">
        <v>2</v>
      </c>
      <c r="H217">
        <v>1</v>
      </c>
      <c r="I217" s="3">
        <v>899</v>
      </c>
      <c r="J217" s="4">
        <v>0</v>
      </c>
      <c r="K217" s="5">
        <v>899</v>
      </c>
      <c r="L217" t="s">
        <v>23</v>
      </c>
    </row>
    <row r="218" spans="1:13">
      <c r="A218" t="s">
        <v>507</v>
      </c>
      <c r="B218" s="1">
        <v>45937</v>
      </c>
      <c r="C218" t="s">
        <v>44</v>
      </c>
      <c r="D218" t="s">
        <v>45</v>
      </c>
      <c r="E218" t="s">
        <v>62</v>
      </c>
      <c r="F218" t="s">
        <v>77</v>
      </c>
      <c r="G218" t="s">
        <v>22</v>
      </c>
      <c r="H218">
        <v>1</v>
      </c>
      <c r="I218" s="3">
        <v>899</v>
      </c>
      <c r="J218" s="4">
        <v>0</v>
      </c>
      <c r="K218" s="5">
        <v>899</v>
      </c>
      <c r="L218" t="s">
        <v>23</v>
      </c>
      <c r="M218">
        <v>4</v>
      </c>
    </row>
    <row r="219" spans="1:13">
      <c r="A219" t="s">
        <v>515</v>
      </c>
      <c r="B219" s="1">
        <v>45940</v>
      </c>
      <c r="C219" t="s">
        <v>34</v>
      </c>
      <c r="D219" t="s">
        <v>35</v>
      </c>
      <c r="E219" t="s">
        <v>62</v>
      </c>
      <c r="F219" t="s">
        <v>77</v>
      </c>
      <c r="G219" t="s">
        <v>22</v>
      </c>
      <c r="H219">
        <v>1</v>
      </c>
      <c r="I219" s="3">
        <v>899</v>
      </c>
      <c r="J219" s="4">
        <v>0</v>
      </c>
      <c r="K219" s="5">
        <v>899</v>
      </c>
      <c r="L219" t="s">
        <v>38</v>
      </c>
      <c r="M219">
        <v>4</v>
      </c>
    </row>
    <row r="220" spans="1:13">
      <c r="A220" t="s">
        <v>576</v>
      </c>
      <c r="B220" s="1">
        <v>45977</v>
      </c>
      <c r="C220" t="s">
        <v>57</v>
      </c>
      <c r="D220" t="s">
        <v>15</v>
      </c>
      <c r="E220" t="s">
        <v>62</v>
      </c>
      <c r="F220" t="s">
        <v>77</v>
      </c>
      <c r="G220" t="s">
        <v>22</v>
      </c>
      <c r="H220">
        <v>1</v>
      </c>
      <c r="I220" s="3">
        <v>899</v>
      </c>
      <c r="J220" s="4">
        <v>0</v>
      </c>
      <c r="K220" s="5">
        <v>899</v>
      </c>
      <c r="L220" t="s">
        <v>23</v>
      </c>
      <c r="M220">
        <v>5</v>
      </c>
    </row>
    <row r="221" spans="1:13">
      <c r="A221" t="s">
        <v>619</v>
      </c>
      <c r="B221" s="1">
        <v>45999</v>
      </c>
      <c r="C221" t="s">
        <v>44</v>
      </c>
      <c r="D221" t="s">
        <v>45</v>
      </c>
      <c r="E221" t="s">
        <v>62</v>
      </c>
      <c r="F221" t="s">
        <v>77</v>
      </c>
      <c r="G221" t="s">
        <v>22</v>
      </c>
      <c r="H221">
        <v>1</v>
      </c>
      <c r="I221" s="3">
        <v>899</v>
      </c>
      <c r="J221" s="4">
        <v>0</v>
      </c>
      <c r="K221" s="5">
        <v>899</v>
      </c>
      <c r="L221" t="s">
        <v>51</v>
      </c>
      <c r="M221">
        <v>4</v>
      </c>
    </row>
    <row r="222" spans="1:13">
      <c r="A222" t="s">
        <v>655</v>
      </c>
      <c r="B222" s="1">
        <v>46021</v>
      </c>
      <c r="C222" t="s">
        <v>14</v>
      </c>
      <c r="D222" t="s">
        <v>15</v>
      </c>
      <c r="E222" t="s">
        <v>62</v>
      </c>
      <c r="F222" t="s">
        <v>77</v>
      </c>
      <c r="G222" t="s">
        <v>22</v>
      </c>
      <c r="H222">
        <v>1</v>
      </c>
      <c r="I222" s="3">
        <v>899</v>
      </c>
      <c r="J222" s="4">
        <v>0</v>
      </c>
      <c r="K222" s="5">
        <v>899</v>
      </c>
      <c r="L222" t="s">
        <v>23</v>
      </c>
      <c r="M222">
        <v>5</v>
      </c>
    </row>
    <row r="223" spans="1:13">
      <c r="A223" t="s">
        <v>85</v>
      </c>
      <c r="B223" s="1">
        <v>45681</v>
      </c>
      <c r="C223" t="s">
        <v>40</v>
      </c>
      <c r="D223" t="s">
        <v>41</v>
      </c>
      <c r="E223" t="s">
        <v>62</v>
      </c>
      <c r="F223" t="s">
        <v>77</v>
      </c>
      <c r="G223" t="s">
        <v>22</v>
      </c>
      <c r="H223">
        <v>1</v>
      </c>
      <c r="I223" s="3">
        <v>899</v>
      </c>
      <c r="J223" s="4">
        <v>0.05</v>
      </c>
      <c r="K223" s="5">
        <v>854.05</v>
      </c>
      <c r="L223" t="s">
        <v>23</v>
      </c>
      <c r="M223">
        <v>5</v>
      </c>
    </row>
    <row r="224" spans="1:13">
      <c r="A224" t="s">
        <v>177</v>
      </c>
      <c r="B224" s="1">
        <v>45724</v>
      </c>
      <c r="C224" t="s">
        <v>57</v>
      </c>
      <c r="D224" t="s">
        <v>15</v>
      </c>
      <c r="E224" t="s">
        <v>62</v>
      </c>
      <c r="F224" t="s">
        <v>77</v>
      </c>
      <c r="G224" t="s">
        <v>22</v>
      </c>
      <c r="H224">
        <v>1</v>
      </c>
      <c r="I224" s="3">
        <v>899</v>
      </c>
      <c r="J224" s="4">
        <v>0.05</v>
      </c>
      <c r="K224" s="5">
        <v>854.05</v>
      </c>
      <c r="L224" t="s">
        <v>23</v>
      </c>
      <c r="M224">
        <v>3</v>
      </c>
    </row>
    <row r="225" spans="1:13">
      <c r="A225" t="s">
        <v>486</v>
      </c>
      <c r="B225" s="1">
        <v>45928</v>
      </c>
      <c r="C225" t="s">
        <v>44</v>
      </c>
      <c r="D225" t="s">
        <v>45</v>
      </c>
      <c r="E225" t="s">
        <v>62</v>
      </c>
      <c r="F225" t="s">
        <v>77</v>
      </c>
      <c r="G225" t="s">
        <v>22</v>
      </c>
      <c r="H225">
        <v>1</v>
      </c>
      <c r="I225" s="3">
        <v>899</v>
      </c>
      <c r="J225" s="4">
        <v>0.05</v>
      </c>
      <c r="K225" s="5">
        <v>854.05</v>
      </c>
      <c r="L225" t="s">
        <v>23</v>
      </c>
      <c r="M225">
        <v>4</v>
      </c>
    </row>
    <row r="226" spans="1:13">
      <c r="A226" t="s">
        <v>369</v>
      </c>
      <c r="B226" s="1">
        <v>45846</v>
      </c>
      <c r="C226" t="s">
        <v>14</v>
      </c>
      <c r="D226" t="s">
        <v>15</v>
      </c>
      <c r="E226" t="s">
        <v>62</v>
      </c>
      <c r="F226" t="s">
        <v>77</v>
      </c>
      <c r="G226" t="s">
        <v>22</v>
      </c>
      <c r="H226">
        <v>1</v>
      </c>
      <c r="I226" s="3">
        <v>899</v>
      </c>
      <c r="J226" s="4">
        <v>0.1</v>
      </c>
      <c r="K226" s="5">
        <v>809.1</v>
      </c>
      <c r="L226" t="s">
        <v>23</v>
      </c>
      <c r="M226">
        <v>5</v>
      </c>
    </row>
    <row r="227" spans="1:13">
      <c r="A227" t="s">
        <v>283</v>
      </c>
      <c r="B227" s="1">
        <v>45794</v>
      </c>
      <c r="C227" t="s">
        <v>14</v>
      </c>
      <c r="D227" t="s">
        <v>15</v>
      </c>
      <c r="E227" t="s">
        <v>62</v>
      </c>
      <c r="F227" t="s">
        <v>77</v>
      </c>
      <c r="G227" t="s">
        <v>22</v>
      </c>
      <c r="H227">
        <v>1</v>
      </c>
      <c r="I227" s="3">
        <v>899</v>
      </c>
      <c r="J227" s="4">
        <v>0.15</v>
      </c>
      <c r="K227" s="5">
        <v>764.15</v>
      </c>
      <c r="L227" t="s">
        <v>23</v>
      </c>
      <c r="M227">
        <v>4</v>
      </c>
    </row>
    <row r="228" spans="1:13">
      <c r="A228" t="s">
        <v>502</v>
      </c>
      <c r="B228" s="1">
        <v>45936</v>
      </c>
      <c r="C228" t="s">
        <v>31</v>
      </c>
      <c r="D228" t="s">
        <v>15</v>
      </c>
      <c r="E228" t="s">
        <v>62</v>
      </c>
      <c r="F228" t="s">
        <v>77</v>
      </c>
      <c r="G228" t="s">
        <v>2</v>
      </c>
      <c r="H228">
        <v>1</v>
      </c>
      <c r="I228" s="3">
        <v>899</v>
      </c>
      <c r="J228" s="4">
        <v>0.15</v>
      </c>
      <c r="K228" s="5">
        <v>764.15</v>
      </c>
      <c r="L228" t="s">
        <v>38</v>
      </c>
      <c r="M228">
        <v>5</v>
      </c>
    </row>
    <row r="229" spans="1:13">
      <c r="A229" t="s">
        <v>510</v>
      </c>
      <c r="B229" s="1">
        <v>45939</v>
      </c>
      <c r="C229" t="s">
        <v>31</v>
      </c>
      <c r="D229" t="s">
        <v>15</v>
      </c>
      <c r="E229" t="s">
        <v>62</v>
      </c>
      <c r="F229" t="s">
        <v>77</v>
      </c>
      <c r="G229" t="s">
        <v>22</v>
      </c>
      <c r="H229">
        <v>1</v>
      </c>
      <c r="I229" s="3">
        <v>899</v>
      </c>
      <c r="J229" s="4">
        <v>0.15</v>
      </c>
      <c r="K229" s="5">
        <v>764.15</v>
      </c>
      <c r="L229" t="s">
        <v>38</v>
      </c>
      <c r="M229">
        <v>5</v>
      </c>
    </row>
    <row r="230" spans="1:13">
      <c r="A230" t="s">
        <v>578</v>
      </c>
      <c r="B230" s="1">
        <v>45978</v>
      </c>
      <c r="C230" t="s">
        <v>57</v>
      </c>
      <c r="D230" t="s">
        <v>15</v>
      </c>
      <c r="E230" t="s">
        <v>62</v>
      </c>
      <c r="F230" t="s">
        <v>77</v>
      </c>
      <c r="G230" t="s">
        <v>22</v>
      </c>
      <c r="H230">
        <v>1</v>
      </c>
      <c r="I230" s="3">
        <v>899</v>
      </c>
      <c r="J230" s="4">
        <v>0.15</v>
      </c>
      <c r="K230" s="5">
        <v>764.15</v>
      </c>
      <c r="L230" t="s">
        <v>23</v>
      </c>
      <c r="M230">
        <v>5</v>
      </c>
    </row>
    <row r="231" spans="1:13">
      <c r="A231" t="s">
        <v>111</v>
      </c>
      <c r="B231" s="1">
        <v>45693</v>
      </c>
      <c r="C231" t="s">
        <v>31</v>
      </c>
      <c r="D231" t="s">
        <v>15</v>
      </c>
      <c r="E231" t="s">
        <v>26</v>
      </c>
      <c r="F231" t="s">
        <v>27</v>
      </c>
      <c r="G231" t="s">
        <v>22</v>
      </c>
      <c r="H231">
        <v>1</v>
      </c>
      <c r="I231" s="3">
        <v>699</v>
      </c>
      <c r="J231" s="4">
        <v>0</v>
      </c>
      <c r="K231" s="5">
        <v>699</v>
      </c>
      <c r="L231" t="s">
        <v>23</v>
      </c>
      <c r="M231">
        <v>5</v>
      </c>
    </row>
    <row r="232" spans="1:13">
      <c r="A232" t="s">
        <v>294</v>
      </c>
      <c r="B232" s="1">
        <v>45802</v>
      </c>
      <c r="C232" t="s">
        <v>25</v>
      </c>
      <c r="D232" t="s">
        <v>15</v>
      </c>
      <c r="E232" t="s">
        <v>26</v>
      </c>
      <c r="F232" t="s">
        <v>27</v>
      </c>
      <c r="G232" t="s">
        <v>2</v>
      </c>
      <c r="H232">
        <v>1</v>
      </c>
      <c r="I232" s="3">
        <v>699</v>
      </c>
      <c r="J232" s="4">
        <v>0</v>
      </c>
      <c r="K232" s="5">
        <v>699</v>
      </c>
      <c r="L232" t="s">
        <v>23</v>
      </c>
      <c r="M232">
        <v>4</v>
      </c>
    </row>
    <row r="233" spans="1:13">
      <c r="A233" t="s">
        <v>296</v>
      </c>
      <c r="B233" s="1">
        <v>45804</v>
      </c>
      <c r="C233" t="s">
        <v>25</v>
      </c>
      <c r="D233" t="s">
        <v>15</v>
      </c>
      <c r="E233" t="s">
        <v>26</v>
      </c>
      <c r="F233" t="s">
        <v>27</v>
      </c>
      <c r="G233" t="s">
        <v>2</v>
      </c>
      <c r="H233">
        <v>1</v>
      </c>
      <c r="I233" s="3">
        <v>699</v>
      </c>
      <c r="J233" s="4">
        <v>0</v>
      </c>
      <c r="K233" s="5">
        <v>699</v>
      </c>
      <c r="L233" t="s">
        <v>18</v>
      </c>
      <c r="M233">
        <v>2</v>
      </c>
    </row>
    <row r="234" spans="1:13">
      <c r="A234" t="s">
        <v>310</v>
      </c>
      <c r="B234" s="1">
        <v>45811</v>
      </c>
      <c r="C234" t="s">
        <v>14</v>
      </c>
      <c r="D234" t="s">
        <v>15</v>
      </c>
      <c r="E234" t="s">
        <v>26</v>
      </c>
      <c r="F234" t="s">
        <v>27</v>
      </c>
      <c r="G234" t="s">
        <v>22</v>
      </c>
      <c r="H234">
        <v>1</v>
      </c>
      <c r="I234" s="3">
        <v>699</v>
      </c>
      <c r="J234" s="4">
        <v>0</v>
      </c>
      <c r="K234" s="5">
        <v>699</v>
      </c>
      <c r="L234" t="s">
        <v>23</v>
      </c>
      <c r="M234">
        <v>5</v>
      </c>
    </row>
    <row r="235" spans="1:13">
      <c r="A235" t="s">
        <v>356</v>
      </c>
      <c r="B235" s="1">
        <v>45841</v>
      </c>
      <c r="C235" t="s">
        <v>54</v>
      </c>
      <c r="D235" t="s">
        <v>35</v>
      </c>
      <c r="E235" t="s">
        <v>26</v>
      </c>
      <c r="F235" t="s">
        <v>27</v>
      </c>
      <c r="G235" t="s">
        <v>37</v>
      </c>
      <c r="H235">
        <v>1</v>
      </c>
      <c r="I235" s="3">
        <v>699</v>
      </c>
      <c r="J235" s="4">
        <v>0</v>
      </c>
      <c r="K235" s="5">
        <v>699</v>
      </c>
      <c r="L235" t="s">
        <v>23</v>
      </c>
      <c r="M235">
        <v>4</v>
      </c>
    </row>
    <row r="236" spans="1:13">
      <c r="A236" t="s">
        <v>448</v>
      </c>
      <c r="B236" s="1">
        <v>45908</v>
      </c>
      <c r="C236" t="s">
        <v>34</v>
      </c>
      <c r="D236" t="s">
        <v>35</v>
      </c>
      <c r="E236" t="s">
        <v>26</v>
      </c>
      <c r="F236" t="s">
        <v>27</v>
      </c>
      <c r="G236" t="s">
        <v>37</v>
      </c>
      <c r="H236">
        <v>1</v>
      </c>
      <c r="I236" s="3">
        <v>699</v>
      </c>
      <c r="J236" s="4">
        <v>0</v>
      </c>
      <c r="K236" s="5">
        <v>699</v>
      </c>
      <c r="L236" t="s">
        <v>23</v>
      </c>
      <c r="M236">
        <v>4</v>
      </c>
    </row>
    <row r="237" spans="1:13">
      <c r="A237" t="s">
        <v>498</v>
      </c>
      <c r="B237" s="1">
        <v>45932</v>
      </c>
      <c r="C237" t="s">
        <v>31</v>
      </c>
      <c r="D237" t="s">
        <v>15</v>
      </c>
      <c r="E237" t="s">
        <v>26</v>
      </c>
      <c r="F237" t="s">
        <v>27</v>
      </c>
      <c r="G237" t="s">
        <v>2</v>
      </c>
      <c r="H237">
        <v>1</v>
      </c>
      <c r="I237" s="3">
        <v>699</v>
      </c>
      <c r="J237" s="4">
        <v>0</v>
      </c>
      <c r="K237" s="5">
        <v>699</v>
      </c>
      <c r="L237" t="s">
        <v>51</v>
      </c>
    </row>
    <row r="238" spans="1:13">
      <c r="A238" t="s">
        <v>242</v>
      </c>
      <c r="B238" s="1">
        <v>45768</v>
      </c>
      <c r="C238" t="s">
        <v>25</v>
      </c>
      <c r="D238" t="s">
        <v>15</v>
      </c>
      <c r="E238" t="s">
        <v>26</v>
      </c>
      <c r="F238" t="s">
        <v>27</v>
      </c>
      <c r="G238" t="s">
        <v>2</v>
      </c>
      <c r="H238">
        <v>1</v>
      </c>
      <c r="I238" s="3">
        <v>699</v>
      </c>
      <c r="J238" s="4">
        <v>0.05</v>
      </c>
      <c r="K238" s="5">
        <v>664.05</v>
      </c>
      <c r="L238" t="s">
        <v>23</v>
      </c>
      <c r="M238">
        <v>4</v>
      </c>
    </row>
    <row r="239" spans="1:13">
      <c r="A239" t="s">
        <v>394</v>
      </c>
      <c r="B239" s="1">
        <v>45869</v>
      </c>
      <c r="C239" t="s">
        <v>31</v>
      </c>
      <c r="D239" t="s">
        <v>15</v>
      </c>
      <c r="E239" t="s">
        <v>26</v>
      </c>
      <c r="F239" t="s">
        <v>27</v>
      </c>
      <c r="G239" t="s">
        <v>22</v>
      </c>
      <c r="H239">
        <v>1</v>
      </c>
      <c r="I239" s="3">
        <v>699</v>
      </c>
      <c r="J239" s="4">
        <v>0.05</v>
      </c>
      <c r="K239" s="5">
        <v>664.05</v>
      </c>
      <c r="L239" t="s">
        <v>23</v>
      </c>
      <c r="M239">
        <v>5</v>
      </c>
    </row>
    <row r="240" spans="1:13">
      <c r="A240" t="s">
        <v>36</v>
      </c>
      <c r="B240" s="1">
        <v>45661</v>
      </c>
      <c r="C240" t="s">
        <v>31</v>
      </c>
      <c r="D240" t="s">
        <v>15</v>
      </c>
      <c r="E240" t="s">
        <v>26</v>
      </c>
      <c r="F240" t="s">
        <v>27</v>
      </c>
      <c r="G240" t="s">
        <v>37</v>
      </c>
      <c r="H240">
        <v>1</v>
      </c>
      <c r="I240" s="3">
        <v>699</v>
      </c>
      <c r="J240" s="4">
        <v>0.1</v>
      </c>
      <c r="K240" s="5">
        <v>629.1</v>
      </c>
      <c r="L240" t="s">
        <v>38</v>
      </c>
      <c r="M240">
        <v>5</v>
      </c>
    </row>
    <row r="241" spans="1:13">
      <c r="A241" t="s">
        <v>89</v>
      </c>
      <c r="B241" s="1">
        <v>45683</v>
      </c>
      <c r="C241" t="s">
        <v>57</v>
      </c>
      <c r="D241" t="s">
        <v>15</v>
      </c>
      <c r="E241" t="s">
        <v>26</v>
      </c>
      <c r="F241" t="s">
        <v>27</v>
      </c>
      <c r="G241" t="s">
        <v>22</v>
      </c>
      <c r="H241">
        <v>1</v>
      </c>
      <c r="I241" s="3">
        <v>699</v>
      </c>
      <c r="J241" s="4">
        <v>0.1</v>
      </c>
      <c r="K241" s="5">
        <v>629.1</v>
      </c>
      <c r="L241" t="s">
        <v>18</v>
      </c>
      <c r="M241">
        <v>5</v>
      </c>
    </row>
    <row r="242" spans="1:13">
      <c r="A242" t="s">
        <v>175</v>
      </c>
      <c r="B242" s="1">
        <v>45723</v>
      </c>
      <c r="C242" t="s">
        <v>57</v>
      </c>
      <c r="D242" t="s">
        <v>15</v>
      </c>
      <c r="E242" t="s">
        <v>26</v>
      </c>
      <c r="F242" t="s">
        <v>27</v>
      </c>
      <c r="G242" t="s">
        <v>2</v>
      </c>
      <c r="H242">
        <v>1</v>
      </c>
      <c r="I242" s="3">
        <v>699</v>
      </c>
      <c r="J242" s="4">
        <v>0.1</v>
      </c>
      <c r="K242" s="5">
        <v>629.1</v>
      </c>
      <c r="L242" t="s">
        <v>23</v>
      </c>
      <c r="M242">
        <v>5</v>
      </c>
    </row>
    <row r="243" spans="1:13">
      <c r="A243" t="s">
        <v>178</v>
      </c>
      <c r="B243" s="1">
        <v>45724</v>
      </c>
      <c r="C243" t="s">
        <v>54</v>
      </c>
      <c r="D243" t="s">
        <v>35</v>
      </c>
      <c r="E243" t="s">
        <v>26</v>
      </c>
      <c r="F243" t="s">
        <v>27</v>
      </c>
      <c r="G243" t="s">
        <v>22</v>
      </c>
      <c r="H243">
        <v>1</v>
      </c>
      <c r="I243" s="3">
        <v>699</v>
      </c>
      <c r="J243" s="4">
        <v>0.1</v>
      </c>
      <c r="K243" s="5">
        <v>629.1</v>
      </c>
      <c r="L243" t="s">
        <v>23</v>
      </c>
    </row>
    <row r="244" spans="1:13">
      <c r="A244" t="s">
        <v>443</v>
      </c>
      <c r="B244" s="1">
        <v>45905</v>
      </c>
      <c r="C244" t="s">
        <v>14</v>
      </c>
      <c r="D244" t="s">
        <v>15</v>
      </c>
      <c r="E244" t="s">
        <v>26</v>
      </c>
      <c r="F244" t="s">
        <v>27</v>
      </c>
      <c r="G244" t="s">
        <v>22</v>
      </c>
      <c r="H244">
        <v>1</v>
      </c>
      <c r="I244" s="3">
        <v>699</v>
      </c>
      <c r="J244" s="4">
        <v>0.1</v>
      </c>
      <c r="K244" s="5">
        <v>629.1</v>
      </c>
      <c r="L244" t="s">
        <v>23</v>
      </c>
      <c r="M244">
        <v>4</v>
      </c>
    </row>
    <row r="245" spans="1:13">
      <c r="A245" t="s">
        <v>458</v>
      </c>
      <c r="B245" s="1">
        <v>45912</v>
      </c>
      <c r="C245" t="s">
        <v>31</v>
      </c>
      <c r="D245" t="s">
        <v>15</v>
      </c>
      <c r="E245" t="s">
        <v>26</v>
      </c>
      <c r="F245" t="s">
        <v>27</v>
      </c>
      <c r="G245" t="s">
        <v>2</v>
      </c>
      <c r="H245">
        <v>1</v>
      </c>
      <c r="I245" s="3">
        <v>699</v>
      </c>
      <c r="J245" s="4">
        <v>0.1</v>
      </c>
      <c r="K245" s="5">
        <v>629.1</v>
      </c>
      <c r="L245" t="s">
        <v>23</v>
      </c>
      <c r="M245">
        <v>4</v>
      </c>
    </row>
    <row r="246" spans="1:13">
      <c r="A246" t="s">
        <v>482</v>
      </c>
      <c r="B246" s="1">
        <v>45926</v>
      </c>
      <c r="C246" t="s">
        <v>54</v>
      </c>
      <c r="D246" t="s">
        <v>35</v>
      </c>
      <c r="E246" t="s">
        <v>26</v>
      </c>
      <c r="F246" t="s">
        <v>27</v>
      </c>
      <c r="G246" t="s">
        <v>37</v>
      </c>
      <c r="H246">
        <v>1</v>
      </c>
      <c r="I246" s="3">
        <v>699</v>
      </c>
      <c r="J246" s="4">
        <v>0.1</v>
      </c>
      <c r="K246" s="5">
        <v>629.1</v>
      </c>
      <c r="L246" t="s">
        <v>23</v>
      </c>
    </row>
    <row r="247" spans="1:13">
      <c r="A247" t="s">
        <v>634</v>
      </c>
      <c r="B247" s="1">
        <v>46009</v>
      </c>
      <c r="C247" t="s">
        <v>14</v>
      </c>
      <c r="D247" t="s">
        <v>15</v>
      </c>
      <c r="E247" t="s">
        <v>26</v>
      </c>
      <c r="F247" t="s">
        <v>27</v>
      </c>
      <c r="G247" t="s">
        <v>22</v>
      </c>
      <c r="H247">
        <v>1</v>
      </c>
      <c r="I247" s="3">
        <v>699</v>
      </c>
      <c r="J247" s="4">
        <v>0.1</v>
      </c>
      <c r="K247" s="5">
        <v>629.1</v>
      </c>
      <c r="L247" t="s">
        <v>23</v>
      </c>
      <c r="M247">
        <v>4</v>
      </c>
    </row>
    <row r="248" spans="1:13">
      <c r="A248" t="s">
        <v>24</v>
      </c>
      <c r="B248" s="1">
        <v>45659</v>
      </c>
      <c r="C248" t="s">
        <v>25</v>
      </c>
      <c r="D248" t="s">
        <v>15</v>
      </c>
      <c r="E248" t="s">
        <v>26</v>
      </c>
      <c r="F248" t="s">
        <v>27</v>
      </c>
      <c r="G248" t="s">
        <v>22</v>
      </c>
      <c r="H248">
        <v>1</v>
      </c>
      <c r="I248" s="3">
        <v>699</v>
      </c>
      <c r="J248" s="4">
        <v>0.15</v>
      </c>
      <c r="K248" s="5">
        <v>594.15</v>
      </c>
      <c r="L248" t="s">
        <v>23</v>
      </c>
      <c r="M248">
        <v>4</v>
      </c>
    </row>
    <row r="249" spans="1:13">
      <c r="A249" t="s">
        <v>121</v>
      </c>
      <c r="B249" s="1">
        <v>45697</v>
      </c>
      <c r="C249" t="s">
        <v>14</v>
      </c>
      <c r="D249" t="s">
        <v>15</v>
      </c>
      <c r="E249" t="s">
        <v>26</v>
      </c>
      <c r="F249" t="s">
        <v>27</v>
      </c>
      <c r="G249" t="s">
        <v>2</v>
      </c>
      <c r="H249">
        <v>1</v>
      </c>
      <c r="I249" s="3">
        <v>699</v>
      </c>
      <c r="J249" s="4">
        <v>0.15</v>
      </c>
      <c r="K249" s="5">
        <v>594.15</v>
      </c>
      <c r="L249" t="s">
        <v>51</v>
      </c>
      <c r="M249">
        <v>5</v>
      </c>
    </row>
    <row r="250" spans="1:13">
      <c r="A250" t="s">
        <v>234</v>
      </c>
      <c r="B250" s="1">
        <v>45764</v>
      </c>
      <c r="C250" t="s">
        <v>40</v>
      </c>
      <c r="D250" t="s">
        <v>41</v>
      </c>
      <c r="E250" t="s">
        <v>26</v>
      </c>
      <c r="F250" t="s">
        <v>27</v>
      </c>
      <c r="G250" t="s">
        <v>37</v>
      </c>
      <c r="H250">
        <v>1</v>
      </c>
      <c r="I250" s="3">
        <v>699</v>
      </c>
      <c r="J250" s="4">
        <v>0.15</v>
      </c>
      <c r="K250" s="5">
        <v>594.15</v>
      </c>
      <c r="L250" t="s">
        <v>51</v>
      </c>
      <c r="M250">
        <v>5</v>
      </c>
    </row>
    <row r="251" spans="1:13">
      <c r="A251" t="s">
        <v>324</v>
      </c>
      <c r="B251" s="1">
        <v>45817</v>
      </c>
      <c r="C251" t="s">
        <v>54</v>
      </c>
      <c r="D251" t="s">
        <v>35</v>
      </c>
      <c r="E251" t="s">
        <v>26</v>
      </c>
      <c r="F251" t="s">
        <v>27</v>
      </c>
      <c r="G251" t="s">
        <v>22</v>
      </c>
      <c r="H251">
        <v>1</v>
      </c>
      <c r="I251" s="3">
        <v>699</v>
      </c>
      <c r="J251" s="4">
        <v>0.15</v>
      </c>
      <c r="K251" s="5">
        <v>594.15</v>
      </c>
      <c r="L251" t="s">
        <v>23</v>
      </c>
      <c r="M251">
        <v>5</v>
      </c>
    </row>
    <row r="252" spans="1:13">
      <c r="A252" t="s">
        <v>337</v>
      </c>
      <c r="B252" s="1">
        <v>45825</v>
      </c>
      <c r="C252" t="s">
        <v>57</v>
      </c>
      <c r="D252" t="s">
        <v>15</v>
      </c>
      <c r="E252" t="s">
        <v>26</v>
      </c>
      <c r="F252" t="s">
        <v>27</v>
      </c>
      <c r="G252" t="s">
        <v>22</v>
      </c>
      <c r="H252">
        <v>1</v>
      </c>
      <c r="I252" s="3">
        <v>699</v>
      </c>
      <c r="J252" s="4">
        <v>0.15</v>
      </c>
      <c r="K252" s="5">
        <v>594.15</v>
      </c>
      <c r="L252" t="s">
        <v>23</v>
      </c>
      <c r="M252">
        <v>4</v>
      </c>
    </row>
    <row r="253" spans="1:13">
      <c r="A253" t="s">
        <v>380</v>
      </c>
      <c r="B253" s="1">
        <v>45856</v>
      </c>
      <c r="C253" t="s">
        <v>14</v>
      </c>
      <c r="D253" t="s">
        <v>15</v>
      </c>
      <c r="E253" t="s">
        <v>26</v>
      </c>
      <c r="F253" t="s">
        <v>27</v>
      </c>
      <c r="G253" t="s">
        <v>22</v>
      </c>
      <c r="H253">
        <v>1</v>
      </c>
      <c r="I253" s="3">
        <v>699</v>
      </c>
      <c r="J253" s="4">
        <v>0.15</v>
      </c>
      <c r="K253" s="5">
        <v>594.15</v>
      </c>
      <c r="L253" t="s">
        <v>38</v>
      </c>
      <c r="M253">
        <v>4</v>
      </c>
    </row>
    <row r="254" spans="1:13">
      <c r="A254" t="s">
        <v>506</v>
      </c>
      <c r="B254" s="1">
        <v>45937</v>
      </c>
      <c r="C254" t="s">
        <v>34</v>
      </c>
      <c r="D254" t="s">
        <v>35</v>
      </c>
      <c r="E254" t="s">
        <v>26</v>
      </c>
      <c r="F254" t="s">
        <v>27</v>
      </c>
      <c r="G254" t="s">
        <v>22</v>
      </c>
      <c r="H254">
        <v>1</v>
      </c>
      <c r="I254" s="3">
        <v>699</v>
      </c>
      <c r="J254" s="4">
        <v>0.15</v>
      </c>
      <c r="K254" s="5">
        <v>594.15</v>
      </c>
      <c r="L254" t="s">
        <v>23</v>
      </c>
      <c r="M254">
        <v>4</v>
      </c>
    </row>
    <row r="255" spans="1:13">
      <c r="A255" t="s">
        <v>533</v>
      </c>
      <c r="B255" s="1">
        <v>45951</v>
      </c>
      <c r="C255" t="s">
        <v>54</v>
      </c>
      <c r="D255" t="s">
        <v>35</v>
      </c>
      <c r="E255" t="s">
        <v>26</v>
      </c>
      <c r="F255" t="s">
        <v>27</v>
      </c>
      <c r="G255" t="s">
        <v>2</v>
      </c>
      <c r="H255">
        <v>1</v>
      </c>
      <c r="I255" s="3">
        <v>699</v>
      </c>
      <c r="J255" s="4">
        <v>0.15</v>
      </c>
      <c r="K255" s="5">
        <v>594.15</v>
      </c>
      <c r="L255" t="s">
        <v>23</v>
      </c>
      <c r="M255">
        <v>3</v>
      </c>
    </row>
    <row r="256" spans="1:13">
      <c r="A256" t="s">
        <v>284</v>
      </c>
      <c r="B256" s="1">
        <v>45794</v>
      </c>
      <c r="C256" t="s">
        <v>40</v>
      </c>
      <c r="D256" t="s">
        <v>41</v>
      </c>
      <c r="E256" t="s">
        <v>26</v>
      </c>
      <c r="F256" t="s">
        <v>27</v>
      </c>
      <c r="G256" t="s">
        <v>2</v>
      </c>
      <c r="H256">
        <v>1</v>
      </c>
      <c r="I256" s="3">
        <v>699</v>
      </c>
      <c r="J256" s="4">
        <v>0.2</v>
      </c>
      <c r="K256" s="5">
        <v>559.20000000000005</v>
      </c>
      <c r="L256" t="s">
        <v>23</v>
      </c>
      <c r="M256">
        <v>4</v>
      </c>
    </row>
    <row r="257" spans="1:13">
      <c r="A257" t="s">
        <v>290</v>
      </c>
      <c r="B257" s="1">
        <v>45799</v>
      </c>
      <c r="C257" t="s">
        <v>44</v>
      </c>
      <c r="D257" t="s">
        <v>45</v>
      </c>
      <c r="E257" t="s">
        <v>26</v>
      </c>
      <c r="F257" t="s">
        <v>27</v>
      </c>
      <c r="G257" t="s">
        <v>37</v>
      </c>
      <c r="H257">
        <v>1</v>
      </c>
      <c r="I257" s="3">
        <v>699</v>
      </c>
      <c r="J257" s="4">
        <v>0.2</v>
      </c>
      <c r="K257" s="5">
        <v>559.20000000000005</v>
      </c>
      <c r="L257" t="s">
        <v>18</v>
      </c>
      <c r="M257">
        <v>5</v>
      </c>
    </row>
    <row r="258" spans="1:13">
      <c r="A258" t="s">
        <v>376</v>
      </c>
      <c r="B258" s="1">
        <v>45853</v>
      </c>
      <c r="C258" t="s">
        <v>34</v>
      </c>
      <c r="D258" t="s">
        <v>35</v>
      </c>
      <c r="E258" t="s">
        <v>26</v>
      </c>
      <c r="F258" t="s">
        <v>27</v>
      </c>
      <c r="G258" t="s">
        <v>2</v>
      </c>
      <c r="H258">
        <v>1</v>
      </c>
      <c r="I258" s="3">
        <v>699</v>
      </c>
      <c r="J258" s="4">
        <v>0.2</v>
      </c>
      <c r="K258" s="5">
        <v>559.20000000000005</v>
      </c>
      <c r="L258" t="s">
        <v>23</v>
      </c>
      <c r="M258">
        <v>5</v>
      </c>
    </row>
    <row r="259" spans="1:13">
      <c r="A259" t="s">
        <v>588</v>
      </c>
      <c r="B259" s="1">
        <v>45981</v>
      </c>
      <c r="C259" t="s">
        <v>14</v>
      </c>
      <c r="D259" t="s">
        <v>15</v>
      </c>
      <c r="E259" t="s">
        <v>26</v>
      </c>
      <c r="F259" t="s">
        <v>27</v>
      </c>
      <c r="G259" t="s">
        <v>37</v>
      </c>
      <c r="H259">
        <v>1</v>
      </c>
      <c r="I259" s="3">
        <v>699</v>
      </c>
      <c r="J259" s="4">
        <v>0.2</v>
      </c>
      <c r="K259" s="5">
        <v>559.20000000000005</v>
      </c>
      <c r="L259" t="s">
        <v>23</v>
      </c>
      <c r="M259">
        <v>4</v>
      </c>
    </row>
    <row r="260" spans="1:13">
      <c r="A260" t="s">
        <v>611</v>
      </c>
      <c r="B260" s="1">
        <v>45995</v>
      </c>
      <c r="C260" t="s">
        <v>54</v>
      </c>
      <c r="D260" t="s">
        <v>35</v>
      </c>
      <c r="E260" t="s">
        <v>26</v>
      </c>
      <c r="F260" t="s">
        <v>27</v>
      </c>
      <c r="G260" t="s">
        <v>2</v>
      </c>
      <c r="H260">
        <v>1</v>
      </c>
      <c r="I260" s="3">
        <v>699</v>
      </c>
      <c r="J260" s="4">
        <v>0.2</v>
      </c>
      <c r="K260" s="5">
        <v>559.20000000000005</v>
      </c>
      <c r="L260" t="s">
        <v>23</v>
      </c>
      <c r="M260">
        <v>4</v>
      </c>
    </row>
    <row r="261" spans="1:13">
      <c r="A261" t="s">
        <v>28</v>
      </c>
      <c r="B261" s="1">
        <v>45659</v>
      </c>
      <c r="C261" t="s">
        <v>14</v>
      </c>
      <c r="D261" t="s">
        <v>15</v>
      </c>
      <c r="E261" t="s">
        <v>26</v>
      </c>
      <c r="F261" t="s">
        <v>29</v>
      </c>
      <c r="G261" t="s">
        <v>2</v>
      </c>
      <c r="H261">
        <v>1</v>
      </c>
      <c r="I261" s="3">
        <v>549</v>
      </c>
      <c r="J261" s="4">
        <v>0</v>
      </c>
      <c r="K261" s="5">
        <v>549</v>
      </c>
      <c r="L261" t="s">
        <v>23</v>
      </c>
      <c r="M261">
        <v>4</v>
      </c>
    </row>
    <row r="262" spans="1:13">
      <c r="A262" t="s">
        <v>33</v>
      </c>
      <c r="B262" s="1">
        <v>45661</v>
      </c>
      <c r="C262" t="s">
        <v>34</v>
      </c>
      <c r="D262" t="s">
        <v>35</v>
      </c>
      <c r="E262" t="s">
        <v>26</v>
      </c>
      <c r="F262" t="s">
        <v>29</v>
      </c>
      <c r="G262" t="s">
        <v>2</v>
      </c>
      <c r="H262">
        <v>1</v>
      </c>
      <c r="I262" s="3">
        <v>549</v>
      </c>
      <c r="J262" s="4">
        <v>0</v>
      </c>
      <c r="K262" s="5">
        <v>549</v>
      </c>
      <c r="L262" t="s">
        <v>23</v>
      </c>
      <c r="M262">
        <v>5</v>
      </c>
    </row>
    <row r="263" spans="1:13">
      <c r="A263" t="s">
        <v>95</v>
      </c>
      <c r="B263" s="1">
        <v>45685</v>
      </c>
      <c r="C263" t="s">
        <v>14</v>
      </c>
      <c r="D263" t="s">
        <v>15</v>
      </c>
      <c r="E263" t="s">
        <v>26</v>
      </c>
      <c r="F263" t="s">
        <v>29</v>
      </c>
      <c r="G263" t="s">
        <v>22</v>
      </c>
      <c r="H263">
        <v>1</v>
      </c>
      <c r="I263" s="3">
        <v>549</v>
      </c>
      <c r="J263" s="4">
        <v>0</v>
      </c>
      <c r="K263" s="5">
        <v>549</v>
      </c>
      <c r="L263" t="s">
        <v>38</v>
      </c>
      <c r="M263">
        <v>4</v>
      </c>
    </row>
    <row r="264" spans="1:13">
      <c r="A264" t="s">
        <v>98</v>
      </c>
      <c r="B264" s="1">
        <v>45687</v>
      </c>
      <c r="C264" t="s">
        <v>57</v>
      </c>
      <c r="D264" t="s">
        <v>15</v>
      </c>
      <c r="E264" t="s">
        <v>26</v>
      </c>
      <c r="F264" t="s">
        <v>29</v>
      </c>
      <c r="G264" t="s">
        <v>22</v>
      </c>
      <c r="H264">
        <v>1</v>
      </c>
      <c r="I264" s="3">
        <v>549</v>
      </c>
      <c r="J264" s="4">
        <v>0</v>
      </c>
      <c r="K264" s="5">
        <v>549</v>
      </c>
      <c r="L264" t="s">
        <v>23</v>
      </c>
      <c r="M264">
        <v>4</v>
      </c>
    </row>
    <row r="265" spans="1:13">
      <c r="A265" t="s">
        <v>143</v>
      </c>
      <c r="B265" s="1">
        <v>45709</v>
      </c>
      <c r="C265" t="s">
        <v>14</v>
      </c>
      <c r="D265" t="s">
        <v>15</v>
      </c>
      <c r="E265" t="s">
        <v>26</v>
      </c>
      <c r="F265" t="s">
        <v>29</v>
      </c>
      <c r="G265" t="s">
        <v>2</v>
      </c>
      <c r="H265">
        <v>1</v>
      </c>
      <c r="I265" s="3">
        <v>549</v>
      </c>
      <c r="J265" s="4">
        <v>0</v>
      </c>
      <c r="K265" s="5">
        <v>549</v>
      </c>
      <c r="L265" t="s">
        <v>23</v>
      </c>
      <c r="M265">
        <v>5</v>
      </c>
    </row>
    <row r="266" spans="1:13">
      <c r="A266" t="s">
        <v>144</v>
      </c>
      <c r="B266" s="1">
        <v>45709</v>
      </c>
      <c r="C266" t="s">
        <v>54</v>
      </c>
      <c r="D266" t="s">
        <v>35</v>
      </c>
      <c r="E266" t="s">
        <v>26</v>
      </c>
      <c r="F266" t="s">
        <v>29</v>
      </c>
      <c r="G266" t="s">
        <v>22</v>
      </c>
      <c r="H266">
        <v>1</v>
      </c>
      <c r="I266" s="3">
        <v>549</v>
      </c>
      <c r="J266" s="4">
        <v>0</v>
      </c>
      <c r="K266" s="5">
        <v>549</v>
      </c>
      <c r="L266" t="s">
        <v>23</v>
      </c>
    </row>
    <row r="267" spans="1:13">
      <c r="A267" t="s">
        <v>171</v>
      </c>
      <c r="B267" s="1">
        <v>45722</v>
      </c>
      <c r="C267" t="s">
        <v>25</v>
      </c>
      <c r="D267" t="s">
        <v>15</v>
      </c>
      <c r="E267" t="s">
        <v>26</v>
      </c>
      <c r="F267" t="s">
        <v>29</v>
      </c>
      <c r="G267" t="s">
        <v>2</v>
      </c>
      <c r="H267">
        <v>1</v>
      </c>
      <c r="I267" s="3">
        <v>549</v>
      </c>
      <c r="J267" s="4">
        <v>0</v>
      </c>
      <c r="K267" s="5">
        <v>549</v>
      </c>
      <c r="L267" t="s">
        <v>23</v>
      </c>
      <c r="M267">
        <v>4</v>
      </c>
    </row>
    <row r="268" spans="1:13">
      <c r="A268" t="s">
        <v>292</v>
      </c>
      <c r="B268" s="1">
        <v>45800</v>
      </c>
      <c r="C268" t="s">
        <v>44</v>
      </c>
      <c r="D268" t="s">
        <v>45</v>
      </c>
      <c r="E268" t="s">
        <v>26</v>
      </c>
      <c r="F268" t="s">
        <v>29</v>
      </c>
      <c r="G268" t="s">
        <v>22</v>
      </c>
      <c r="H268">
        <v>1</v>
      </c>
      <c r="I268" s="3">
        <v>549</v>
      </c>
      <c r="J268" s="4">
        <v>0</v>
      </c>
      <c r="K268" s="5">
        <v>549</v>
      </c>
      <c r="L268" t="s">
        <v>23</v>
      </c>
      <c r="M268">
        <v>4</v>
      </c>
    </row>
    <row r="269" spans="1:13">
      <c r="A269" t="s">
        <v>307</v>
      </c>
      <c r="B269" s="1">
        <v>45811</v>
      </c>
      <c r="C269" t="s">
        <v>57</v>
      </c>
      <c r="D269" t="s">
        <v>15</v>
      </c>
      <c r="E269" t="s">
        <v>26</v>
      </c>
      <c r="F269" t="s">
        <v>29</v>
      </c>
      <c r="G269" t="s">
        <v>37</v>
      </c>
      <c r="H269">
        <v>1</v>
      </c>
      <c r="I269" s="3">
        <v>549</v>
      </c>
      <c r="J269" s="4">
        <v>0</v>
      </c>
      <c r="K269" s="5">
        <v>549</v>
      </c>
      <c r="L269" t="s">
        <v>51</v>
      </c>
      <c r="M269">
        <v>4</v>
      </c>
    </row>
    <row r="270" spans="1:13">
      <c r="A270" t="s">
        <v>340</v>
      </c>
      <c r="B270" s="1">
        <v>45826</v>
      </c>
      <c r="C270" t="s">
        <v>40</v>
      </c>
      <c r="D270" t="s">
        <v>41</v>
      </c>
      <c r="E270" t="s">
        <v>26</v>
      </c>
      <c r="F270" t="s">
        <v>29</v>
      </c>
      <c r="G270" t="s">
        <v>2</v>
      </c>
      <c r="H270">
        <v>1</v>
      </c>
      <c r="I270" s="3">
        <v>549</v>
      </c>
      <c r="J270" s="4">
        <v>0</v>
      </c>
      <c r="K270" s="5">
        <v>549</v>
      </c>
      <c r="L270" t="s">
        <v>23</v>
      </c>
      <c r="M270">
        <v>4</v>
      </c>
    </row>
    <row r="271" spans="1:13">
      <c r="A271" t="s">
        <v>365</v>
      </c>
      <c r="B271" s="1">
        <v>45845</v>
      </c>
      <c r="C271" t="s">
        <v>40</v>
      </c>
      <c r="D271" t="s">
        <v>41</v>
      </c>
      <c r="E271" t="s">
        <v>26</v>
      </c>
      <c r="F271" t="s">
        <v>29</v>
      </c>
      <c r="G271" t="s">
        <v>2</v>
      </c>
      <c r="H271">
        <v>1</v>
      </c>
      <c r="I271" s="3">
        <v>549</v>
      </c>
      <c r="J271" s="4">
        <v>0</v>
      </c>
      <c r="K271" s="5">
        <v>549</v>
      </c>
      <c r="L271" t="s">
        <v>18</v>
      </c>
    </row>
    <row r="272" spans="1:13">
      <c r="A272" t="s">
        <v>384</v>
      </c>
      <c r="B272" s="1">
        <v>45858</v>
      </c>
      <c r="C272" t="s">
        <v>14</v>
      </c>
      <c r="D272" t="s">
        <v>15</v>
      </c>
      <c r="E272" t="s">
        <v>26</v>
      </c>
      <c r="F272" t="s">
        <v>29</v>
      </c>
      <c r="G272" t="s">
        <v>2</v>
      </c>
      <c r="H272">
        <v>1</v>
      </c>
      <c r="I272" s="3">
        <v>549</v>
      </c>
      <c r="J272" s="4">
        <v>0</v>
      </c>
      <c r="K272" s="5">
        <v>549</v>
      </c>
      <c r="L272" t="s">
        <v>23</v>
      </c>
      <c r="M272">
        <v>5</v>
      </c>
    </row>
    <row r="273" spans="1:13">
      <c r="A273" t="s">
        <v>386</v>
      </c>
      <c r="B273" s="1">
        <v>45861</v>
      </c>
      <c r="C273" t="s">
        <v>14</v>
      </c>
      <c r="D273" t="s">
        <v>15</v>
      </c>
      <c r="E273" t="s">
        <v>26</v>
      </c>
      <c r="F273" t="s">
        <v>29</v>
      </c>
      <c r="G273" t="s">
        <v>37</v>
      </c>
      <c r="H273">
        <v>1</v>
      </c>
      <c r="I273" s="3">
        <v>549</v>
      </c>
      <c r="J273" s="4">
        <v>0</v>
      </c>
      <c r="K273" s="5">
        <v>549</v>
      </c>
      <c r="L273" t="s">
        <v>23</v>
      </c>
      <c r="M273">
        <v>2</v>
      </c>
    </row>
    <row r="274" spans="1:13">
      <c r="A274" t="s">
        <v>425</v>
      </c>
      <c r="B274" s="1">
        <v>45892</v>
      </c>
      <c r="C274" t="s">
        <v>25</v>
      </c>
      <c r="D274" t="s">
        <v>15</v>
      </c>
      <c r="E274" t="s">
        <v>26</v>
      </c>
      <c r="F274" t="s">
        <v>29</v>
      </c>
      <c r="G274" t="s">
        <v>2</v>
      </c>
      <c r="H274">
        <v>1</v>
      </c>
      <c r="I274" s="3">
        <v>549</v>
      </c>
      <c r="J274" s="4">
        <v>0</v>
      </c>
      <c r="K274" s="5">
        <v>549</v>
      </c>
      <c r="L274" t="s">
        <v>23</v>
      </c>
      <c r="M274">
        <v>4</v>
      </c>
    </row>
    <row r="275" spans="1:13">
      <c r="A275" t="s">
        <v>497</v>
      </c>
      <c r="B275" s="1">
        <v>45932</v>
      </c>
      <c r="C275" t="s">
        <v>31</v>
      </c>
      <c r="D275" t="s">
        <v>15</v>
      </c>
      <c r="E275" t="s">
        <v>26</v>
      </c>
      <c r="F275" t="s">
        <v>29</v>
      </c>
      <c r="G275" t="s">
        <v>22</v>
      </c>
      <c r="H275">
        <v>1</v>
      </c>
      <c r="I275" s="3">
        <v>549</v>
      </c>
      <c r="J275" s="4">
        <v>0</v>
      </c>
      <c r="K275" s="5">
        <v>549</v>
      </c>
      <c r="L275" t="s">
        <v>23</v>
      </c>
      <c r="M275">
        <v>5</v>
      </c>
    </row>
    <row r="276" spans="1:13">
      <c r="A276" t="s">
        <v>500</v>
      </c>
      <c r="B276" s="1">
        <v>45935</v>
      </c>
      <c r="C276" t="s">
        <v>44</v>
      </c>
      <c r="D276" t="s">
        <v>45</v>
      </c>
      <c r="E276" t="s">
        <v>26</v>
      </c>
      <c r="F276" t="s">
        <v>29</v>
      </c>
      <c r="G276" t="s">
        <v>37</v>
      </c>
      <c r="H276">
        <v>1</v>
      </c>
      <c r="I276" s="3">
        <v>549</v>
      </c>
      <c r="J276" s="4">
        <v>0</v>
      </c>
      <c r="K276" s="5">
        <v>549</v>
      </c>
      <c r="L276" t="s">
        <v>38</v>
      </c>
      <c r="M276">
        <v>5</v>
      </c>
    </row>
    <row r="277" spans="1:13">
      <c r="A277" t="s">
        <v>544</v>
      </c>
      <c r="B277" s="1">
        <v>45958</v>
      </c>
      <c r="C277" t="s">
        <v>44</v>
      </c>
      <c r="D277" t="s">
        <v>45</v>
      </c>
      <c r="E277" t="s">
        <v>26</v>
      </c>
      <c r="F277" t="s">
        <v>29</v>
      </c>
      <c r="G277" t="s">
        <v>2</v>
      </c>
      <c r="H277">
        <v>1</v>
      </c>
      <c r="I277" s="3">
        <v>549</v>
      </c>
      <c r="J277" s="4">
        <v>0</v>
      </c>
      <c r="K277" s="5">
        <v>549</v>
      </c>
      <c r="L277" t="s">
        <v>23</v>
      </c>
      <c r="M277">
        <v>3</v>
      </c>
    </row>
    <row r="278" spans="1:13">
      <c r="A278" t="s">
        <v>572</v>
      </c>
      <c r="B278" s="1">
        <v>45972</v>
      </c>
      <c r="C278" t="s">
        <v>54</v>
      </c>
      <c r="D278" t="s">
        <v>35</v>
      </c>
      <c r="E278" t="s">
        <v>26</v>
      </c>
      <c r="F278" t="s">
        <v>29</v>
      </c>
      <c r="G278" t="s">
        <v>2</v>
      </c>
      <c r="H278">
        <v>1</v>
      </c>
      <c r="I278" s="3">
        <v>549</v>
      </c>
      <c r="J278" s="4">
        <v>0</v>
      </c>
      <c r="K278" s="5">
        <v>549</v>
      </c>
      <c r="L278" t="s">
        <v>18</v>
      </c>
    </row>
    <row r="279" spans="1:13">
      <c r="A279" t="s">
        <v>631</v>
      </c>
      <c r="B279" s="1">
        <v>46006</v>
      </c>
      <c r="C279" t="s">
        <v>25</v>
      </c>
      <c r="D279" t="s">
        <v>15</v>
      </c>
      <c r="E279" t="s">
        <v>26</v>
      </c>
      <c r="F279" t="s">
        <v>29</v>
      </c>
      <c r="G279" t="s">
        <v>2</v>
      </c>
      <c r="H279">
        <v>1</v>
      </c>
      <c r="I279" s="3">
        <v>549</v>
      </c>
      <c r="J279" s="4">
        <v>0</v>
      </c>
      <c r="K279" s="5">
        <v>549</v>
      </c>
      <c r="L279" t="s">
        <v>51</v>
      </c>
      <c r="M279">
        <v>5</v>
      </c>
    </row>
    <row r="280" spans="1:13">
      <c r="A280" t="s">
        <v>129</v>
      </c>
      <c r="B280" s="1">
        <v>45700</v>
      </c>
      <c r="C280" t="s">
        <v>44</v>
      </c>
      <c r="D280" t="s">
        <v>45</v>
      </c>
      <c r="E280" t="s">
        <v>26</v>
      </c>
      <c r="F280" t="s">
        <v>29</v>
      </c>
      <c r="G280" t="s">
        <v>22</v>
      </c>
      <c r="H280">
        <v>1</v>
      </c>
      <c r="I280" s="3">
        <v>549</v>
      </c>
      <c r="J280" s="4">
        <v>0.05</v>
      </c>
      <c r="K280" s="5">
        <v>521.54999999999995</v>
      </c>
      <c r="L280" t="s">
        <v>23</v>
      </c>
      <c r="M280">
        <v>5</v>
      </c>
    </row>
    <row r="281" spans="1:13">
      <c r="A281" t="s">
        <v>305</v>
      </c>
      <c r="B281" s="1">
        <v>45811</v>
      </c>
      <c r="C281" t="s">
        <v>31</v>
      </c>
      <c r="D281" t="s">
        <v>15</v>
      </c>
      <c r="E281" t="s">
        <v>26</v>
      </c>
      <c r="F281" t="s">
        <v>29</v>
      </c>
      <c r="G281" t="s">
        <v>2</v>
      </c>
      <c r="H281">
        <v>1</v>
      </c>
      <c r="I281" s="3">
        <v>549</v>
      </c>
      <c r="J281" s="4">
        <v>0.05</v>
      </c>
      <c r="K281" s="5">
        <v>521.54999999999995</v>
      </c>
      <c r="L281" t="s">
        <v>23</v>
      </c>
      <c r="M281">
        <v>5</v>
      </c>
    </row>
    <row r="282" spans="1:13">
      <c r="A282" t="s">
        <v>630</v>
      </c>
      <c r="B282" s="1">
        <v>46005</v>
      </c>
      <c r="C282" t="s">
        <v>40</v>
      </c>
      <c r="D282" t="s">
        <v>41</v>
      </c>
      <c r="E282" t="s">
        <v>26</v>
      </c>
      <c r="F282" t="s">
        <v>29</v>
      </c>
      <c r="G282" t="s">
        <v>22</v>
      </c>
      <c r="H282">
        <v>1</v>
      </c>
      <c r="I282" s="3">
        <v>549</v>
      </c>
      <c r="J282" s="4">
        <v>0.05</v>
      </c>
      <c r="K282" s="5">
        <v>521.54999999999995</v>
      </c>
      <c r="L282" t="s">
        <v>18</v>
      </c>
      <c r="M282">
        <v>3</v>
      </c>
    </row>
    <row r="283" spans="1:13">
      <c r="A283" t="s">
        <v>636</v>
      </c>
      <c r="B283" s="1">
        <v>46009</v>
      </c>
      <c r="C283" t="s">
        <v>14</v>
      </c>
      <c r="D283" t="s">
        <v>15</v>
      </c>
      <c r="E283" t="s">
        <v>26</v>
      </c>
      <c r="F283" t="s">
        <v>29</v>
      </c>
      <c r="G283" t="s">
        <v>2</v>
      </c>
      <c r="H283">
        <v>1</v>
      </c>
      <c r="I283" s="3">
        <v>549</v>
      </c>
      <c r="J283" s="4">
        <v>0.05</v>
      </c>
      <c r="K283" s="5">
        <v>521.54999999999995</v>
      </c>
      <c r="L283" t="s">
        <v>23</v>
      </c>
      <c r="M283">
        <v>4</v>
      </c>
    </row>
    <row r="284" spans="1:13">
      <c r="A284" t="s">
        <v>67</v>
      </c>
      <c r="B284" s="1">
        <v>45668</v>
      </c>
      <c r="C284" t="s">
        <v>25</v>
      </c>
      <c r="D284" t="s">
        <v>15</v>
      </c>
      <c r="E284" t="s">
        <v>26</v>
      </c>
      <c r="F284" t="s">
        <v>29</v>
      </c>
      <c r="G284" t="s">
        <v>22</v>
      </c>
      <c r="H284">
        <v>1</v>
      </c>
      <c r="I284" s="3">
        <v>549</v>
      </c>
      <c r="J284" s="4">
        <v>0.1</v>
      </c>
      <c r="K284" s="5">
        <v>494.1</v>
      </c>
      <c r="L284" t="s">
        <v>23</v>
      </c>
      <c r="M284">
        <v>4</v>
      </c>
    </row>
    <row r="285" spans="1:13">
      <c r="A285" t="s">
        <v>141</v>
      </c>
      <c r="B285" s="1">
        <v>45708</v>
      </c>
      <c r="C285" t="s">
        <v>40</v>
      </c>
      <c r="D285" t="s">
        <v>41</v>
      </c>
      <c r="E285" t="s">
        <v>26</v>
      </c>
      <c r="F285" t="s">
        <v>29</v>
      </c>
      <c r="G285" t="s">
        <v>22</v>
      </c>
      <c r="H285">
        <v>1</v>
      </c>
      <c r="I285" s="3">
        <v>549</v>
      </c>
      <c r="J285" s="4">
        <v>0.1</v>
      </c>
      <c r="K285" s="5">
        <v>494.1</v>
      </c>
      <c r="L285" t="s">
        <v>23</v>
      </c>
      <c r="M285">
        <v>5</v>
      </c>
    </row>
    <row r="286" spans="1:13">
      <c r="A286" t="s">
        <v>150</v>
      </c>
      <c r="B286" s="1">
        <v>45712</v>
      </c>
      <c r="C286" t="s">
        <v>54</v>
      </c>
      <c r="D286" t="s">
        <v>35</v>
      </c>
      <c r="E286" t="s">
        <v>26</v>
      </c>
      <c r="F286" t="s">
        <v>29</v>
      </c>
      <c r="G286" t="s">
        <v>37</v>
      </c>
      <c r="H286">
        <v>1</v>
      </c>
      <c r="I286" s="3">
        <v>549</v>
      </c>
      <c r="J286" s="4">
        <v>0.1</v>
      </c>
      <c r="K286" s="5">
        <v>494.1</v>
      </c>
      <c r="L286" t="s">
        <v>51</v>
      </c>
      <c r="M286">
        <v>4</v>
      </c>
    </row>
    <row r="287" spans="1:13">
      <c r="A287" t="s">
        <v>163</v>
      </c>
      <c r="B287" s="1">
        <v>45718</v>
      </c>
      <c r="C287" t="s">
        <v>40</v>
      </c>
      <c r="D287" t="s">
        <v>41</v>
      </c>
      <c r="E287" t="s">
        <v>26</v>
      </c>
      <c r="F287" t="s">
        <v>29</v>
      </c>
      <c r="G287" t="s">
        <v>2</v>
      </c>
      <c r="H287">
        <v>1</v>
      </c>
      <c r="I287" s="3">
        <v>549</v>
      </c>
      <c r="J287" s="4">
        <v>0.1</v>
      </c>
      <c r="K287" s="5">
        <v>494.1</v>
      </c>
      <c r="L287" t="s">
        <v>23</v>
      </c>
      <c r="M287">
        <v>5</v>
      </c>
    </row>
    <row r="288" spans="1:13">
      <c r="A288" t="s">
        <v>524</v>
      </c>
      <c r="B288" s="1">
        <v>45947</v>
      </c>
      <c r="C288" t="s">
        <v>44</v>
      </c>
      <c r="D288" t="s">
        <v>45</v>
      </c>
      <c r="E288" t="s">
        <v>26</v>
      </c>
      <c r="F288" t="s">
        <v>29</v>
      </c>
      <c r="G288" t="s">
        <v>2</v>
      </c>
      <c r="H288">
        <v>1</v>
      </c>
      <c r="I288" s="3">
        <v>549</v>
      </c>
      <c r="J288" s="4">
        <v>0.1</v>
      </c>
      <c r="K288" s="5">
        <v>494.1</v>
      </c>
      <c r="L288" t="s">
        <v>23</v>
      </c>
      <c r="M288">
        <v>3</v>
      </c>
    </row>
    <row r="289" spans="1:13">
      <c r="A289" t="s">
        <v>207</v>
      </c>
      <c r="B289" s="1">
        <v>45743</v>
      </c>
      <c r="C289" t="s">
        <v>25</v>
      </c>
      <c r="D289" t="s">
        <v>15</v>
      </c>
      <c r="E289" t="s">
        <v>26</v>
      </c>
      <c r="F289" t="s">
        <v>29</v>
      </c>
      <c r="G289" t="s">
        <v>2</v>
      </c>
      <c r="H289">
        <v>1</v>
      </c>
      <c r="I289" s="3">
        <v>549</v>
      </c>
      <c r="J289" s="4">
        <v>0.15</v>
      </c>
      <c r="K289" s="5">
        <v>466.65</v>
      </c>
      <c r="L289" t="s">
        <v>23</v>
      </c>
      <c r="M289">
        <v>4</v>
      </c>
    </row>
    <row r="290" spans="1:13">
      <c r="A290" t="s">
        <v>493</v>
      </c>
      <c r="B290" s="1">
        <v>45929</v>
      </c>
      <c r="C290" t="s">
        <v>57</v>
      </c>
      <c r="D290" t="s">
        <v>15</v>
      </c>
      <c r="E290" t="s">
        <v>26</v>
      </c>
      <c r="F290" t="s">
        <v>29</v>
      </c>
      <c r="G290" t="s">
        <v>37</v>
      </c>
      <c r="H290">
        <v>1</v>
      </c>
      <c r="I290" s="3">
        <v>549</v>
      </c>
      <c r="J290" s="4">
        <v>0.15</v>
      </c>
      <c r="K290" s="5">
        <v>466.65</v>
      </c>
      <c r="L290" t="s">
        <v>23</v>
      </c>
      <c r="M290">
        <v>5</v>
      </c>
    </row>
    <row r="291" spans="1:13">
      <c r="A291" t="s">
        <v>382</v>
      </c>
      <c r="B291" s="1">
        <v>45857</v>
      </c>
      <c r="C291" t="s">
        <v>31</v>
      </c>
      <c r="D291" t="s">
        <v>15</v>
      </c>
      <c r="E291" t="s">
        <v>26</v>
      </c>
      <c r="F291" t="s">
        <v>29</v>
      </c>
      <c r="G291" t="s">
        <v>37</v>
      </c>
      <c r="H291">
        <v>1</v>
      </c>
      <c r="I291" s="3">
        <v>549</v>
      </c>
      <c r="J291" s="4">
        <v>0.2</v>
      </c>
      <c r="K291" s="5">
        <v>439.2</v>
      </c>
      <c r="L291" t="s">
        <v>23</v>
      </c>
      <c r="M291">
        <v>5</v>
      </c>
    </row>
    <row r="292" spans="1:13">
      <c r="A292" t="s">
        <v>587</v>
      </c>
      <c r="B292" s="1">
        <v>45981</v>
      </c>
      <c r="C292" t="s">
        <v>54</v>
      </c>
      <c r="D292" t="s">
        <v>35</v>
      </c>
      <c r="E292" t="s">
        <v>26</v>
      </c>
      <c r="F292" t="s">
        <v>29</v>
      </c>
      <c r="G292" t="s">
        <v>2</v>
      </c>
      <c r="H292">
        <v>1</v>
      </c>
      <c r="I292" s="3">
        <v>549</v>
      </c>
      <c r="J292" s="4">
        <v>0.2</v>
      </c>
      <c r="K292" s="5">
        <v>439.2</v>
      </c>
      <c r="L292" t="s">
        <v>23</v>
      </c>
      <c r="M292">
        <v>4</v>
      </c>
    </row>
    <row r="293" spans="1:13">
      <c r="A293" t="s">
        <v>299</v>
      </c>
      <c r="B293" s="1">
        <v>45805</v>
      </c>
      <c r="C293" t="s">
        <v>40</v>
      </c>
      <c r="D293" t="s">
        <v>41</v>
      </c>
      <c r="E293" t="s">
        <v>20</v>
      </c>
      <c r="F293" t="s">
        <v>21</v>
      </c>
      <c r="G293" t="s">
        <v>22</v>
      </c>
      <c r="H293">
        <v>5</v>
      </c>
      <c r="I293" s="3">
        <v>69</v>
      </c>
      <c r="J293" s="4">
        <v>0</v>
      </c>
      <c r="K293" s="5">
        <v>345</v>
      </c>
      <c r="L293" t="s">
        <v>18</v>
      </c>
    </row>
    <row r="294" spans="1:13">
      <c r="A294" t="s">
        <v>201</v>
      </c>
      <c r="B294" s="1">
        <v>45740</v>
      </c>
      <c r="C294" t="s">
        <v>57</v>
      </c>
      <c r="D294" t="s">
        <v>15</v>
      </c>
      <c r="E294" t="s">
        <v>20</v>
      </c>
      <c r="F294" t="s">
        <v>42</v>
      </c>
      <c r="G294" t="s">
        <v>22</v>
      </c>
      <c r="H294">
        <v>5</v>
      </c>
      <c r="I294" s="3">
        <v>59</v>
      </c>
      <c r="J294" s="4">
        <v>0.1</v>
      </c>
      <c r="K294" s="5">
        <v>265.5</v>
      </c>
      <c r="L294" t="s">
        <v>23</v>
      </c>
      <c r="M294">
        <v>4</v>
      </c>
    </row>
    <row r="295" spans="1:13">
      <c r="A295" t="s">
        <v>615</v>
      </c>
      <c r="B295" s="1">
        <v>45997</v>
      </c>
      <c r="C295" t="s">
        <v>54</v>
      </c>
      <c r="D295" t="s">
        <v>35</v>
      </c>
      <c r="E295" t="s">
        <v>20</v>
      </c>
      <c r="F295" t="s">
        <v>42</v>
      </c>
      <c r="G295" t="s">
        <v>2</v>
      </c>
      <c r="H295">
        <v>5</v>
      </c>
      <c r="I295" s="3">
        <v>59</v>
      </c>
      <c r="J295" s="4">
        <v>0.15</v>
      </c>
      <c r="K295" s="5">
        <v>250.75</v>
      </c>
      <c r="L295" t="s">
        <v>18</v>
      </c>
      <c r="M295">
        <v>5</v>
      </c>
    </row>
    <row r="296" spans="1:13">
      <c r="A296" t="s">
        <v>266</v>
      </c>
      <c r="B296" s="1">
        <v>45783</v>
      </c>
      <c r="C296" t="s">
        <v>44</v>
      </c>
      <c r="D296" t="s">
        <v>45</v>
      </c>
      <c r="E296" t="s">
        <v>20</v>
      </c>
      <c r="F296" t="s">
        <v>21</v>
      </c>
      <c r="G296" t="s">
        <v>2</v>
      </c>
      <c r="H296">
        <v>3</v>
      </c>
      <c r="I296" s="3">
        <v>69</v>
      </c>
      <c r="J296" s="4">
        <v>0</v>
      </c>
      <c r="K296" s="5">
        <v>207</v>
      </c>
      <c r="L296" t="s">
        <v>23</v>
      </c>
      <c r="M296">
        <v>4</v>
      </c>
    </row>
    <row r="297" spans="1:13">
      <c r="A297" t="s">
        <v>273</v>
      </c>
      <c r="B297" s="1">
        <v>45786</v>
      </c>
      <c r="C297" t="s">
        <v>31</v>
      </c>
      <c r="D297" t="s">
        <v>15</v>
      </c>
      <c r="E297" t="s">
        <v>20</v>
      </c>
      <c r="F297" t="s">
        <v>21</v>
      </c>
      <c r="G297" t="s">
        <v>37</v>
      </c>
      <c r="H297">
        <v>3</v>
      </c>
      <c r="I297" s="3">
        <v>69</v>
      </c>
      <c r="J297" s="4">
        <v>0</v>
      </c>
      <c r="K297" s="5">
        <v>207</v>
      </c>
      <c r="L297" t="s">
        <v>23</v>
      </c>
      <c r="M297">
        <v>4</v>
      </c>
    </row>
    <row r="298" spans="1:13">
      <c r="A298" t="s">
        <v>484</v>
      </c>
      <c r="B298" s="1">
        <v>45927</v>
      </c>
      <c r="C298" t="s">
        <v>54</v>
      </c>
      <c r="D298" t="s">
        <v>35</v>
      </c>
      <c r="E298" t="s">
        <v>20</v>
      </c>
      <c r="F298" t="s">
        <v>21</v>
      </c>
      <c r="G298" t="s">
        <v>22</v>
      </c>
      <c r="H298">
        <v>3</v>
      </c>
      <c r="I298" s="3">
        <v>69</v>
      </c>
      <c r="J298" s="4">
        <v>0</v>
      </c>
      <c r="K298" s="5">
        <v>207</v>
      </c>
      <c r="L298" t="s">
        <v>23</v>
      </c>
      <c r="M298">
        <v>4</v>
      </c>
    </row>
    <row r="299" spans="1:13">
      <c r="A299" t="s">
        <v>641</v>
      </c>
      <c r="B299" s="1">
        <v>46012</v>
      </c>
      <c r="C299" t="s">
        <v>34</v>
      </c>
      <c r="D299" t="s">
        <v>35</v>
      </c>
      <c r="E299" t="s">
        <v>20</v>
      </c>
      <c r="F299" t="s">
        <v>21</v>
      </c>
      <c r="G299" t="s">
        <v>22</v>
      </c>
      <c r="H299">
        <v>3</v>
      </c>
      <c r="I299" s="3">
        <v>69</v>
      </c>
      <c r="J299" s="4">
        <v>0</v>
      </c>
      <c r="K299" s="5">
        <v>207</v>
      </c>
      <c r="L299" t="s">
        <v>38</v>
      </c>
    </row>
    <row r="300" spans="1:13">
      <c r="A300" t="s">
        <v>648</v>
      </c>
      <c r="B300" s="1">
        <v>46017</v>
      </c>
      <c r="C300" t="s">
        <v>44</v>
      </c>
      <c r="D300" t="s">
        <v>45</v>
      </c>
      <c r="E300" t="s">
        <v>20</v>
      </c>
      <c r="F300" t="s">
        <v>21</v>
      </c>
      <c r="G300" t="s">
        <v>22</v>
      </c>
      <c r="H300">
        <v>3</v>
      </c>
      <c r="I300" s="3">
        <v>69</v>
      </c>
      <c r="J300" s="4">
        <v>0</v>
      </c>
      <c r="K300" s="5">
        <v>207</v>
      </c>
      <c r="L300" t="s">
        <v>18</v>
      </c>
      <c r="M300">
        <v>4</v>
      </c>
    </row>
    <row r="301" spans="1:13">
      <c r="A301" t="s">
        <v>327</v>
      </c>
      <c r="B301" s="1">
        <v>45819</v>
      </c>
      <c r="C301" t="s">
        <v>14</v>
      </c>
      <c r="D301" t="s">
        <v>15</v>
      </c>
      <c r="E301" t="s">
        <v>20</v>
      </c>
      <c r="F301" t="s">
        <v>75</v>
      </c>
      <c r="G301" t="s">
        <v>22</v>
      </c>
      <c r="H301">
        <v>4</v>
      </c>
      <c r="I301" s="3">
        <v>45</v>
      </c>
      <c r="J301" s="4">
        <v>0</v>
      </c>
      <c r="K301" s="5">
        <v>180</v>
      </c>
      <c r="L301" t="s">
        <v>23</v>
      </c>
      <c r="M301">
        <v>5</v>
      </c>
    </row>
    <row r="302" spans="1:13">
      <c r="A302" t="s">
        <v>463</v>
      </c>
      <c r="B302" s="1">
        <v>45914</v>
      </c>
      <c r="C302" t="s">
        <v>34</v>
      </c>
      <c r="D302" t="s">
        <v>35</v>
      </c>
      <c r="E302" t="s">
        <v>20</v>
      </c>
      <c r="F302" t="s">
        <v>75</v>
      </c>
      <c r="G302" t="s">
        <v>2</v>
      </c>
      <c r="H302">
        <v>4</v>
      </c>
      <c r="I302" s="3">
        <v>45</v>
      </c>
      <c r="J302" s="4">
        <v>0</v>
      </c>
      <c r="K302" s="5">
        <v>180</v>
      </c>
      <c r="L302" t="s">
        <v>23</v>
      </c>
      <c r="M302">
        <v>3</v>
      </c>
    </row>
    <row r="303" spans="1:13">
      <c r="A303" t="s">
        <v>659</v>
      </c>
      <c r="B303" s="1">
        <v>46021</v>
      </c>
      <c r="C303" t="s">
        <v>44</v>
      </c>
      <c r="D303" t="s">
        <v>45</v>
      </c>
      <c r="E303" t="s">
        <v>20</v>
      </c>
      <c r="F303" t="s">
        <v>75</v>
      </c>
      <c r="G303" t="s">
        <v>22</v>
      </c>
      <c r="H303">
        <v>4</v>
      </c>
      <c r="I303" s="3">
        <v>45</v>
      </c>
      <c r="J303" s="4">
        <v>0</v>
      </c>
      <c r="K303" s="5">
        <v>180</v>
      </c>
      <c r="L303" t="s">
        <v>51</v>
      </c>
      <c r="M303">
        <v>5</v>
      </c>
    </row>
    <row r="304" spans="1:13">
      <c r="A304" t="s">
        <v>109</v>
      </c>
      <c r="B304" s="1">
        <v>45692</v>
      </c>
      <c r="C304" t="s">
        <v>40</v>
      </c>
      <c r="D304" t="s">
        <v>41</v>
      </c>
      <c r="E304" t="s">
        <v>16</v>
      </c>
      <c r="F304" t="s">
        <v>32</v>
      </c>
      <c r="G304" t="s">
        <v>2</v>
      </c>
      <c r="H304">
        <v>2</v>
      </c>
      <c r="I304" s="3">
        <v>89</v>
      </c>
      <c r="J304" s="4">
        <v>0</v>
      </c>
      <c r="K304" s="5">
        <v>178</v>
      </c>
      <c r="L304" t="s">
        <v>38</v>
      </c>
      <c r="M304">
        <v>2</v>
      </c>
    </row>
    <row r="305" spans="1:13">
      <c r="A305" t="s">
        <v>320</v>
      </c>
      <c r="B305" s="1">
        <v>45816</v>
      </c>
      <c r="C305" t="s">
        <v>54</v>
      </c>
      <c r="D305" t="s">
        <v>35</v>
      </c>
      <c r="E305" t="s">
        <v>16</v>
      </c>
      <c r="F305" t="s">
        <v>32</v>
      </c>
      <c r="G305" t="s">
        <v>2</v>
      </c>
      <c r="H305">
        <v>2</v>
      </c>
      <c r="I305" s="3">
        <v>89</v>
      </c>
      <c r="J305" s="4">
        <v>0</v>
      </c>
      <c r="K305" s="5">
        <v>178</v>
      </c>
      <c r="L305" t="s">
        <v>23</v>
      </c>
      <c r="M305">
        <v>5</v>
      </c>
    </row>
    <row r="306" spans="1:13">
      <c r="A306" t="s">
        <v>215</v>
      </c>
      <c r="B306" s="1">
        <v>45746</v>
      </c>
      <c r="C306" t="s">
        <v>40</v>
      </c>
      <c r="D306" t="s">
        <v>41</v>
      </c>
      <c r="E306" t="s">
        <v>20</v>
      </c>
      <c r="F306" t="s">
        <v>42</v>
      </c>
      <c r="G306" t="s">
        <v>2</v>
      </c>
      <c r="H306">
        <v>3</v>
      </c>
      <c r="I306" s="3">
        <v>59</v>
      </c>
      <c r="J306" s="4">
        <v>0</v>
      </c>
      <c r="K306" s="5">
        <v>177</v>
      </c>
      <c r="L306" t="s">
        <v>23</v>
      </c>
      <c r="M306">
        <v>1</v>
      </c>
    </row>
    <row r="307" spans="1:13">
      <c r="A307" t="s">
        <v>454</v>
      </c>
      <c r="B307" s="1">
        <v>45910</v>
      </c>
      <c r="C307" t="s">
        <v>40</v>
      </c>
      <c r="D307" t="s">
        <v>41</v>
      </c>
      <c r="E307" t="s">
        <v>20</v>
      </c>
      <c r="F307" t="s">
        <v>42</v>
      </c>
      <c r="G307" t="s">
        <v>2</v>
      </c>
      <c r="H307">
        <v>3</v>
      </c>
      <c r="I307" s="3">
        <v>59</v>
      </c>
      <c r="J307" s="4">
        <v>0</v>
      </c>
      <c r="K307" s="5">
        <v>177</v>
      </c>
      <c r="L307" t="s">
        <v>23</v>
      </c>
      <c r="M307">
        <v>3</v>
      </c>
    </row>
    <row r="308" spans="1:13">
      <c r="A308" t="s">
        <v>485</v>
      </c>
      <c r="B308" s="1">
        <v>45927</v>
      </c>
      <c r="C308" t="s">
        <v>34</v>
      </c>
      <c r="D308" t="s">
        <v>35</v>
      </c>
      <c r="E308" t="s">
        <v>20</v>
      </c>
      <c r="F308" t="s">
        <v>42</v>
      </c>
      <c r="G308" t="s">
        <v>2</v>
      </c>
      <c r="H308">
        <v>3</v>
      </c>
      <c r="I308" s="3">
        <v>59</v>
      </c>
      <c r="J308" s="4">
        <v>0</v>
      </c>
      <c r="K308" s="5">
        <v>177</v>
      </c>
      <c r="L308" t="s">
        <v>23</v>
      </c>
      <c r="M308">
        <v>5</v>
      </c>
    </row>
    <row r="309" spans="1:13">
      <c r="A309" t="s">
        <v>514</v>
      </c>
      <c r="B309" s="1">
        <v>45940</v>
      </c>
      <c r="C309" t="s">
        <v>34</v>
      </c>
      <c r="D309" t="s">
        <v>35</v>
      </c>
      <c r="E309" t="s">
        <v>20</v>
      </c>
      <c r="F309" t="s">
        <v>42</v>
      </c>
      <c r="G309" t="s">
        <v>2</v>
      </c>
      <c r="H309">
        <v>3</v>
      </c>
      <c r="I309" s="3">
        <v>59</v>
      </c>
      <c r="J309" s="4">
        <v>0</v>
      </c>
      <c r="K309" s="5">
        <v>177</v>
      </c>
      <c r="L309" t="s">
        <v>38</v>
      </c>
      <c r="M309">
        <v>4</v>
      </c>
    </row>
    <row r="310" spans="1:13">
      <c r="A310" t="s">
        <v>345</v>
      </c>
      <c r="B310" s="1">
        <v>45829</v>
      </c>
      <c r="C310" t="s">
        <v>57</v>
      </c>
      <c r="D310" t="s">
        <v>15</v>
      </c>
      <c r="E310" t="s">
        <v>16</v>
      </c>
      <c r="F310" t="s">
        <v>32</v>
      </c>
      <c r="G310" t="s">
        <v>2</v>
      </c>
      <c r="H310">
        <v>2</v>
      </c>
      <c r="I310" s="3">
        <v>89</v>
      </c>
      <c r="J310" s="4">
        <v>0.05</v>
      </c>
      <c r="K310" s="5">
        <v>169.1</v>
      </c>
      <c r="L310" t="s">
        <v>38</v>
      </c>
    </row>
    <row r="311" spans="1:13">
      <c r="A311" t="s">
        <v>344</v>
      </c>
      <c r="B311" s="1">
        <v>45829</v>
      </c>
      <c r="C311" t="s">
        <v>25</v>
      </c>
      <c r="D311" t="s">
        <v>15</v>
      </c>
      <c r="E311" t="s">
        <v>20</v>
      </c>
      <c r="F311" t="s">
        <v>42</v>
      </c>
      <c r="G311" t="s">
        <v>22</v>
      </c>
      <c r="H311">
        <v>3</v>
      </c>
      <c r="I311" s="3">
        <v>59</v>
      </c>
      <c r="J311" s="4">
        <v>0.05</v>
      </c>
      <c r="K311" s="5">
        <v>168.15</v>
      </c>
      <c r="L311" t="s">
        <v>23</v>
      </c>
      <c r="M311">
        <v>4</v>
      </c>
    </row>
    <row r="312" spans="1:13">
      <c r="A312" t="s">
        <v>86</v>
      </c>
      <c r="B312" s="1">
        <v>45681</v>
      </c>
      <c r="C312" t="s">
        <v>34</v>
      </c>
      <c r="D312" t="s">
        <v>35</v>
      </c>
      <c r="E312" t="s">
        <v>16</v>
      </c>
      <c r="F312" t="s">
        <v>32</v>
      </c>
      <c r="G312" t="s">
        <v>2</v>
      </c>
      <c r="H312">
        <v>2</v>
      </c>
      <c r="I312" s="3">
        <v>89</v>
      </c>
      <c r="J312" s="4">
        <v>0.1</v>
      </c>
      <c r="K312" s="5">
        <v>160.19999999999999</v>
      </c>
      <c r="L312" t="s">
        <v>23</v>
      </c>
      <c r="M312">
        <v>5</v>
      </c>
    </row>
    <row r="313" spans="1:13">
      <c r="A313" t="s">
        <v>148</v>
      </c>
      <c r="B313" s="1">
        <v>45712</v>
      </c>
      <c r="C313" t="s">
        <v>44</v>
      </c>
      <c r="D313" t="s">
        <v>45</v>
      </c>
      <c r="E313" t="s">
        <v>16</v>
      </c>
      <c r="F313" t="s">
        <v>32</v>
      </c>
      <c r="G313" t="s">
        <v>2</v>
      </c>
      <c r="H313">
        <v>2</v>
      </c>
      <c r="I313" s="3">
        <v>89</v>
      </c>
      <c r="J313" s="4">
        <v>0.1</v>
      </c>
      <c r="K313" s="5">
        <v>160.19999999999999</v>
      </c>
      <c r="L313" t="s">
        <v>23</v>
      </c>
      <c r="M313">
        <v>3</v>
      </c>
    </row>
    <row r="314" spans="1:13">
      <c r="A314" t="s">
        <v>444</v>
      </c>
      <c r="B314" s="1">
        <v>45906</v>
      </c>
      <c r="C314" t="s">
        <v>54</v>
      </c>
      <c r="D314" t="s">
        <v>35</v>
      </c>
      <c r="E314" t="s">
        <v>16</v>
      </c>
      <c r="F314" t="s">
        <v>32</v>
      </c>
      <c r="G314" t="s">
        <v>2</v>
      </c>
      <c r="H314">
        <v>2</v>
      </c>
      <c r="I314" s="3">
        <v>89</v>
      </c>
      <c r="J314" s="4">
        <v>0.1</v>
      </c>
      <c r="K314" s="5">
        <v>160.19999999999999</v>
      </c>
      <c r="L314" t="s">
        <v>38</v>
      </c>
    </row>
    <row r="315" spans="1:13">
      <c r="A315" t="s">
        <v>73</v>
      </c>
      <c r="B315" s="1">
        <v>45672</v>
      </c>
      <c r="C315" t="s">
        <v>25</v>
      </c>
      <c r="D315" t="s">
        <v>15</v>
      </c>
      <c r="E315" t="s">
        <v>20</v>
      </c>
      <c r="F315" t="s">
        <v>42</v>
      </c>
      <c r="G315" t="s">
        <v>37</v>
      </c>
      <c r="H315">
        <v>3</v>
      </c>
      <c r="I315" s="3">
        <v>59</v>
      </c>
      <c r="J315" s="4">
        <v>0.1</v>
      </c>
      <c r="K315" s="5">
        <v>159.30000000000001</v>
      </c>
      <c r="L315" t="s">
        <v>38</v>
      </c>
      <c r="M315">
        <v>5</v>
      </c>
    </row>
    <row r="316" spans="1:13">
      <c r="A316" t="s">
        <v>616</v>
      </c>
      <c r="B316" s="1">
        <v>45998</v>
      </c>
      <c r="C316" t="s">
        <v>57</v>
      </c>
      <c r="D316" t="s">
        <v>15</v>
      </c>
      <c r="E316" t="s">
        <v>20</v>
      </c>
      <c r="F316" t="s">
        <v>42</v>
      </c>
      <c r="G316" t="s">
        <v>37</v>
      </c>
      <c r="H316">
        <v>3</v>
      </c>
      <c r="I316" s="3">
        <v>59</v>
      </c>
      <c r="J316" s="4">
        <v>0.1</v>
      </c>
      <c r="K316" s="5">
        <v>159.30000000000001</v>
      </c>
      <c r="L316" t="s">
        <v>38</v>
      </c>
      <c r="M316">
        <v>3</v>
      </c>
    </row>
    <row r="317" spans="1:13">
      <c r="A317" t="s">
        <v>561</v>
      </c>
      <c r="B317" s="1">
        <v>45968</v>
      </c>
      <c r="C317" t="s">
        <v>25</v>
      </c>
      <c r="D317" t="s">
        <v>15</v>
      </c>
      <c r="E317" t="s">
        <v>20</v>
      </c>
      <c r="F317" t="s">
        <v>75</v>
      </c>
      <c r="G317" t="s">
        <v>22</v>
      </c>
      <c r="H317">
        <v>4</v>
      </c>
      <c r="I317" s="3">
        <v>45</v>
      </c>
      <c r="J317" s="4">
        <v>0.15</v>
      </c>
      <c r="K317" s="5">
        <v>153</v>
      </c>
      <c r="L317" t="s">
        <v>23</v>
      </c>
      <c r="M317">
        <v>5</v>
      </c>
    </row>
    <row r="318" spans="1:13">
      <c r="A318" t="s">
        <v>132</v>
      </c>
      <c r="B318" s="1">
        <v>45701</v>
      </c>
      <c r="C318" t="s">
        <v>40</v>
      </c>
      <c r="D318" t="s">
        <v>41</v>
      </c>
      <c r="E318" t="s">
        <v>16</v>
      </c>
      <c r="F318" t="s">
        <v>32</v>
      </c>
      <c r="G318" t="s">
        <v>2</v>
      </c>
      <c r="H318">
        <v>2</v>
      </c>
      <c r="I318" s="3">
        <v>89</v>
      </c>
      <c r="J318" s="4">
        <v>0.15</v>
      </c>
      <c r="K318" s="5">
        <v>151.30000000000001</v>
      </c>
      <c r="L318" t="s">
        <v>23</v>
      </c>
      <c r="M318">
        <v>3</v>
      </c>
    </row>
    <row r="319" spans="1:13">
      <c r="A319" t="s">
        <v>285</v>
      </c>
      <c r="B319" s="1">
        <v>45794</v>
      </c>
      <c r="C319" t="s">
        <v>54</v>
      </c>
      <c r="D319" t="s">
        <v>35</v>
      </c>
      <c r="E319" t="s">
        <v>20</v>
      </c>
      <c r="F319" t="s">
        <v>42</v>
      </c>
      <c r="G319" t="s">
        <v>2</v>
      </c>
      <c r="H319">
        <v>3</v>
      </c>
      <c r="I319" s="3">
        <v>59</v>
      </c>
      <c r="J319" s="4">
        <v>0.15</v>
      </c>
      <c r="K319" s="5">
        <v>150.44999999999999</v>
      </c>
      <c r="L319" t="s">
        <v>18</v>
      </c>
      <c r="M319">
        <v>5</v>
      </c>
    </row>
    <row r="320" spans="1:13">
      <c r="A320" t="s">
        <v>219</v>
      </c>
      <c r="B320" s="1">
        <v>45751</v>
      </c>
      <c r="C320" t="s">
        <v>25</v>
      </c>
      <c r="D320" t="s">
        <v>15</v>
      </c>
      <c r="E320" t="s">
        <v>20</v>
      </c>
      <c r="F320" t="s">
        <v>55</v>
      </c>
      <c r="G320" t="s">
        <v>2</v>
      </c>
      <c r="H320">
        <v>4</v>
      </c>
      <c r="I320" s="3">
        <v>35</v>
      </c>
      <c r="J320" s="4">
        <v>0</v>
      </c>
      <c r="K320" s="5">
        <v>140</v>
      </c>
      <c r="L320" t="s">
        <v>23</v>
      </c>
      <c r="M320">
        <v>4</v>
      </c>
    </row>
    <row r="321" spans="1:13">
      <c r="A321" t="s">
        <v>383</v>
      </c>
      <c r="B321" s="1">
        <v>45858</v>
      </c>
      <c r="C321" t="s">
        <v>25</v>
      </c>
      <c r="D321" t="s">
        <v>15</v>
      </c>
      <c r="E321" t="s">
        <v>20</v>
      </c>
      <c r="F321" t="s">
        <v>55</v>
      </c>
      <c r="G321" t="s">
        <v>37</v>
      </c>
      <c r="H321">
        <v>4</v>
      </c>
      <c r="I321" s="3">
        <v>35</v>
      </c>
      <c r="J321" s="4">
        <v>0</v>
      </c>
      <c r="K321" s="5">
        <v>140</v>
      </c>
      <c r="L321" t="s">
        <v>23</v>
      </c>
      <c r="M321">
        <v>2</v>
      </c>
    </row>
    <row r="322" spans="1:13">
      <c r="A322" t="s">
        <v>479</v>
      </c>
      <c r="B322" s="1">
        <v>45924</v>
      </c>
      <c r="C322" t="s">
        <v>54</v>
      </c>
      <c r="D322" t="s">
        <v>35</v>
      </c>
      <c r="E322" t="s">
        <v>20</v>
      </c>
      <c r="F322" t="s">
        <v>55</v>
      </c>
      <c r="G322" t="s">
        <v>2</v>
      </c>
      <c r="H322">
        <v>4</v>
      </c>
      <c r="I322" s="3">
        <v>35</v>
      </c>
      <c r="J322" s="4">
        <v>0</v>
      </c>
      <c r="K322" s="5">
        <v>140</v>
      </c>
      <c r="L322" t="s">
        <v>23</v>
      </c>
      <c r="M322">
        <v>5</v>
      </c>
    </row>
    <row r="323" spans="1:13">
      <c r="A323" t="s">
        <v>256</v>
      </c>
      <c r="B323" s="1">
        <v>45778</v>
      </c>
      <c r="C323" t="s">
        <v>25</v>
      </c>
      <c r="D323" t="s">
        <v>15</v>
      </c>
      <c r="E323" t="s">
        <v>20</v>
      </c>
      <c r="F323" t="s">
        <v>55</v>
      </c>
      <c r="G323" t="s">
        <v>2</v>
      </c>
      <c r="H323">
        <v>4</v>
      </c>
      <c r="I323" s="3">
        <v>35</v>
      </c>
      <c r="J323" s="4">
        <v>0</v>
      </c>
      <c r="K323" s="5">
        <v>140</v>
      </c>
      <c r="L323" t="s">
        <v>38</v>
      </c>
      <c r="M323">
        <v>1</v>
      </c>
    </row>
    <row r="324" spans="1:13">
      <c r="A324" t="s">
        <v>488</v>
      </c>
      <c r="B324" s="1">
        <v>45928</v>
      </c>
      <c r="C324" t="s">
        <v>54</v>
      </c>
      <c r="D324" t="s">
        <v>35</v>
      </c>
      <c r="E324" t="s">
        <v>20</v>
      </c>
      <c r="F324" t="s">
        <v>55</v>
      </c>
      <c r="G324" t="s">
        <v>22</v>
      </c>
      <c r="H324">
        <v>4</v>
      </c>
      <c r="I324" s="3">
        <v>35</v>
      </c>
      <c r="J324" s="4">
        <v>0</v>
      </c>
      <c r="K324" s="5">
        <v>140</v>
      </c>
      <c r="L324" t="s">
        <v>51</v>
      </c>
      <c r="M324">
        <v>4</v>
      </c>
    </row>
    <row r="325" spans="1:13">
      <c r="A325" t="s">
        <v>118</v>
      </c>
      <c r="B325" s="1">
        <v>45696</v>
      </c>
      <c r="C325" t="s">
        <v>31</v>
      </c>
      <c r="D325" t="s">
        <v>15</v>
      </c>
      <c r="E325" t="s">
        <v>20</v>
      </c>
      <c r="F325" t="s">
        <v>21</v>
      </c>
      <c r="G325" t="s">
        <v>2</v>
      </c>
      <c r="H325">
        <v>2</v>
      </c>
      <c r="I325" s="3">
        <v>69</v>
      </c>
      <c r="J325" s="4">
        <v>0</v>
      </c>
      <c r="K325" s="5">
        <v>138</v>
      </c>
      <c r="L325" t="s">
        <v>51</v>
      </c>
      <c r="M325">
        <v>5</v>
      </c>
    </row>
    <row r="326" spans="1:13">
      <c r="A326" t="s">
        <v>422</v>
      </c>
      <c r="B326" s="1">
        <v>45892</v>
      </c>
      <c r="C326" t="s">
        <v>54</v>
      </c>
      <c r="D326" t="s">
        <v>35</v>
      </c>
      <c r="E326" t="s">
        <v>20</v>
      </c>
      <c r="F326" t="s">
        <v>21</v>
      </c>
      <c r="G326" t="s">
        <v>2</v>
      </c>
      <c r="H326">
        <v>2</v>
      </c>
      <c r="I326" s="3">
        <v>69</v>
      </c>
      <c r="J326" s="4">
        <v>0</v>
      </c>
      <c r="K326" s="5">
        <v>138</v>
      </c>
      <c r="L326" t="s">
        <v>23</v>
      </c>
      <c r="M326">
        <v>3</v>
      </c>
    </row>
    <row r="327" spans="1:13">
      <c r="A327" t="s">
        <v>537</v>
      </c>
      <c r="B327" s="1">
        <v>45955</v>
      </c>
      <c r="C327" t="s">
        <v>14</v>
      </c>
      <c r="D327" t="s">
        <v>15</v>
      </c>
      <c r="E327" t="s">
        <v>20</v>
      </c>
      <c r="F327" t="s">
        <v>21</v>
      </c>
      <c r="G327" t="s">
        <v>37</v>
      </c>
      <c r="H327">
        <v>2</v>
      </c>
      <c r="I327" s="3">
        <v>69</v>
      </c>
      <c r="J327" s="4">
        <v>0</v>
      </c>
      <c r="K327" s="5">
        <v>138</v>
      </c>
      <c r="L327" t="s">
        <v>23</v>
      </c>
      <c r="M327">
        <v>4</v>
      </c>
    </row>
    <row r="328" spans="1:13">
      <c r="A328" t="s">
        <v>559</v>
      </c>
      <c r="B328" s="1">
        <v>45967</v>
      </c>
      <c r="C328" t="s">
        <v>40</v>
      </c>
      <c r="D328" t="s">
        <v>41</v>
      </c>
      <c r="E328" t="s">
        <v>20</v>
      </c>
      <c r="F328" t="s">
        <v>21</v>
      </c>
      <c r="G328" t="s">
        <v>2</v>
      </c>
      <c r="H328">
        <v>2</v>
      </c>
      <c r="I328" s="3">
        <v>69</v>
      </c>
      <c r="J328" s="4">
        <v>0</v>
      </c>
      <c r="K328" s="5">
        <v>138</v>
      </c>
      <c r="L328" t="s">
        <v>23</v>
      </c>
      <c r="M328">
        <v>3</v>
      </c>
    </row>
    <row r="329" spans="1:13">
      <c r="A329" t="s">
        <v>637</v>
      </c>
      <c r="B329" s="1">
        <v>46011</v>
      </c>
      <c r="C329" t="s">
        <v>25</v>
      </c>
      <c r="D329" t="s">
        <v>15</v>
      </c>
      <c r="E329" t="s">
        <v>20</v>
      </c>
      <c r="F329" t="s">
        <v>21</v>
      </c>
      <c r="G329" t="s">
        <v>2</v>
      </c>
      <c r="H329">
        <v>2</v>
      </c>
      <c r="I329" s="3">
        <v>69</v>
      </c>
      <c r="J329" s="4">
        <v>0</v>
      </c>
      <c r="K329" s="5">
        <v>138</v>
      </c>
      <c r="L329" t="s">
        <v>23</v>
      </c>
      <c r="M329">
        <v>4</v>
      </c>
    </row>
    <row r="330" spans="1:13">
      <c r="A330" t="s">
        <v>218</v>
      </c>
      <c r="B330" s="1">
        <v>45747</v>
      </c>
      <c r="C330" t="s">
        <v>57</v>
      </c>
      <c r="D330" t="s">
        <v>15</v>
      </c>
      <c r="E330" t="s">
        <v>20</v>
      </c>
      <c r="F330" t="s">
        <v>21</v>
      </c>
      <c r="G330" t="s">
        <v>22</v>
      </c>
      <c r="H330">
        <v>2</v>
      </c>
      <c r="I330" s="3">
        <v>69</v>
      </c>
      <c r="J330" s="4">
        <v>0</v>
      </c>
      <c r="K330" s="5">
        <v>138</v>
      </c>
      <c r="L330" t="s">
        <v>18</v>
      </c>
      <c r="M330">
        <v>5</v>
      </c>
    </row>
    <row r="331" spans="1:13">
      <c r="A331" t="s">
        <v>633</v>
      </c>
      <c r="B331" s="1">
        <v>46009</v>
      </c>
      <c r="C331" t="s">
        <v>14</v>
      </c>
      <c r="D331" t="s">
        <v>15</v>
      </c>
      <c r="E331" t="s">
        <v>20</v>
      </c>
      <c r="F331" t="s">
        <v>21</v>
      </c>
      <c r="G331" t="s">
        <v>37</v>
      </c>
      <c r="H331">
        <v>2</v>
      </c>
      <c r="I331" s="3">
        <v>69</v>
      </c>
      <c r="J331" s="4">
        <v>0</v>
      </c>
      <c r="K331" s="5">
        <v>138</v>
      </c>
      <c r="L331" t="s">
        <v>38</v>
      </c>
      <c r="M331">
        <v>4</v>
      </c>
    </row>
    <row r="332" spans="1:13">
      <c r="A332" t="s">
        <v>189</v>
      </c>
      <c r="B332" s="1">
        <v>45730</v>
      </c>
      <c r="C332" t="s">
        <v>34</v>
      </c>
      <c r="D332" t="s">
        <v>35</v>
      </c>
      <c r="E332" t="s">
        <v>20</v>
      </c>
      <c r="F332" t="s">
        <v>75</v>
      </c>
      <c r="G332" t="s">
        <v>2</v>
      </c>
      <c r="H332">
        <v>3</v>
      </c>
      <c r="I332" s="3">
        <v>45</v>
      </c>
      <c r="J332" s="4">
        <v>0</v>
      </c>
      <c r="K332" s="5">
        <v>135</v>
      </c>
      <c r="L332" t="s">
        <v>18</v>
      </c>
      <c r="M332">
        <v>3</v>
      </c>
    </row>
    <row r="333" spans="1:13">
      <c r="A333" t="s">
        <v>192</v>
      </c>
      <c r="B333" s="1">
        <v>45733</v>
      </c>
      <c r="C333" t="s">
        <v>14</v>
      </c>
      <c r="D333" t="s">
        <v>15</v>
      </c>
      <c r="E333" t="s">
        <v>20</v>
      </c>
      <c r="F333" t="s">
        <v>75</v>
      </c>
      <c r="G333" t="s">
        <v>22</v>
      </c>
      <c r="H333">
        <v>3</v>
      </c>
      <c r="I333" s="3">
        <v>45</v>
      </c>
      <c r="J333" s="4">
        <v>0</v>
      </c>
      <c r="K333" s="5">
        <v>135</v>
      </c>
      <c r="L333" t="s">
        <v>51</v>
      </c>
      <c r="M333">
        <v>5</v>
      </c>
    </row>
    <row r="334" spans="1:13">
      <c r="A334" t="s">
        <v>194</v>
      </c>
      <c r="B334" s="1">
        <v>45733</v>
      </c>
      <c r="C334" t="s">
        <v>54</v>
      </c>
      <c r="D334" t="s">
        <v>35</v>
      </c>
      <c r="E334" t="s">
        <v>20</v>
      </c>
      <c r="F334" t="s">
        <v>75</v>
      </c>
      <c r="G334" t="s">
        <v>2</v>
      </c>
      <c r="H334">
        <v>3</v>
      </c>
      <c r="I334" s="3">
        <v>45</v>
      </c>
      <c r="J334" s="4">
        <v>0</v>
      </c>
      <c r="K334" s="5">
        <v>135</v>
      </c>
      <c r="L334" t="s">
        <v>23</v>
      </c>
      <c r="M334">
        <v>3</v>
      </c>
    </row>
    <row r="335" spans="1:13">
      <c r="A335" t="s">
        <v>654</v>
      </c>
      <c r="B335" s="1">
        <v>46020</v>
      </c>
      <c r="C335" t="s">
        <v>14</v>
      </c>
      <c r="D335" t="s">
        <v>15</v>
      </c>
      <c r="E335" t="s">
        <v>20</v>
      </c>
      <c r="F335" t="s">
        <v>75</v>
      </c>
      <c r="G335" t="s">
        <v>2</v>
      </c>
      <c r="H335">
        <v>3</v>
      </c>
      <c r="I335" s="3">
        <v>45</v>
      </c>
      <c r="J335" s="4">
        <v>0</v>
      </c>
      <c r="K335" s="5">
        <v>135</v>
      </c>
      <c r="L335" t="s">
        <v>23</v>
      </c>
      <c r="M335">
        <v>5</v>
      </c>
    </row>
    <row r="336" spans="1:13">
      <c r="A336" t="s">
        <v>286</v>
      </c>
      <c r="B336" s="1">
        <v>45795</v>
      </c>
      <c r="C336" t="s">
        <v>44</v>
      </c>
      <c r="D336" t="s">
        <v>45</v>
      </c>
      <c r="E336" t="s">
        <v>20</v>
      </c>
      <c r="F336" t="s">
        <v>75</v>
      </c>
      <c r="G336" t="s">
        <v>22</v>
      </c>
      <c r="H336">
        <v>3</v>
      </c>
      <c r="I336" s="3">
        <v>45</v>
      </c>
      <c r="J336" s="4">
        <v>0</v>
      </c>
      <c r="K336" s="5">
        <v>135</v>
      </c>
      <c r="L336" t="s">
        <v>38</v>
      </c>
      <c r="M336">
        <v>4</v>
      </c>
    </row>
    <row r="337" spans="1:13">
      <c r="A337" t="s">
        <v>398</v>
      </c>
      <c r="B337" s="1">
        <v>45872</v>
      </c>
      <c r="C337" t="s">
        <v>25</v>
      </c>
      <c r="D337" t="s">
        <v>15</v>
      </c>
      <c r="E337" t="s">
        <v>20</v>
      </c>
      <c r="F337" t="s">
        <v>75</v>
      </c>
      <c r="G337" t="s">
        <v>2</v>
      </c>
      <c r="H337">
        <v>3</v>
      </c>
      <c r="I337" s="3">
        <v>45</v>
      </c>
      <c r="J337" s="4">
        <v>0</v>
      </c>
      <c r="K337" s="5">
        <v>135</v>
      </c>
      <c r="L337" t="s">
        <v>51</v>
      </c>
      <c r="M337">
        <v>5</v>
      </c>
    </row>
    <row r="338" spans="1:13">
      <c r="A338" t="s">
        <v>529</v>
      </c>
      <c r="B338" s="1">
        <v>45949</v>
      </c>
      <c r="C338" t="s">
        <v>14</v>
      </c>
      <c r="D338" t="s">
        <v>15</v>
      </c>
      <c r="E338" t="s">
        <v>20</v>
      </c>
      <c r="F338" t="s">
        <v>75</v>
      </c>
      <c r="G338" t="s">
        <v>22</v>
      </c>
      <c r="H338">
        <v>3</v>
      </c>
      <c r="I338" s="3">
        <v>45</v>
      </c>
      <c r="J338" s="4">
        <v>0</v>
      </c>
      <c r="K338" s="5">
        <v>135</v>
      </c>
      <c r="L338" t="s">
        <v>18</v>
      </c>
      <c r="M338">
        <v>3</v>
      </c>
    </row>
    <row r="339" spans="1:13">
      <c r="A339" t="s">
        <v>119</v>
      </c>
      <c r="B339" s="1">
        <v>45696</v>
      </c>
      <c r="C339" t="s">
        <v>25</v>
      </c>
      <c r="D339" t="s">
        <v>15</v>
      </c>
      <c r="E339" t="s">
        <v>20</v>
      </c>
      <c r="F339" t="s">
        <v>55</v>
      </c>
      <c r="G339" t="s">
        <v>2</v>
      </c>
      <c r="H339">
        <v>4</v>
      </c>
      <c r="I339" s="3">
        <v>35</v>
      </c>
      <c r="J339" s="4">
        <v>0.05</v>
      </c>
      <c r="K339" s="5">
        <v>133</v>
      </c>
      <c r="L339" t="s">
        <v>38</v>
      </c>
      <c r="M339">
        <v>4</v>
      </c>
    </row>
    <row r="340" spans="1:13">
      <c r="A340" t="s">
        <v>168</v>
      </c>
      <c r="B340" s="1">
        <v>45722</v>
      </c>
      <c r="C340" t="s">
        <v>31</v>
      </c>
      <c r="D340" t="s">
        <v>15</v>
      </c>
      <c r="E340" t="s">
        <v>20</v>
      </c>
      <c r="F340" t="s">
        <v>21</v>
      </c>
      <c r="G340" t="s">
        <v>2</v>
      </c>
      <c r="H340">
        <v>2</v>
      </c>
      <c r="I340" s="3">
        <v>69</v>
      </c>
      <c r="J340" s="4">
        <v>0.1</v>
      </c>
      <c r="K340" s="5">
        <v>124.2</v>
      </c>
      <c r="L340" t="s">
        <v>23</v>
      </c>
      <c r="M340">
        <v>2</v>
      </c>
    </row>
    <row r="341" spans="1:13">
      <c r="A341" t="s">
        <v>606</v>
      </c>
      <c r="B341" s="1">
        <v>45993</v>
      </c>
      <c r="C341" t="s">
        <v>44</v>
      </c>
      <c r="D341" t="s">
        <v>45</v>
      </c>
      <c r="E341" t="s">
        <v>20</v>
      </c>
      <c r="F341" t="s">
        <v>21</v>
      </c>
      <c r="G341" t="s">
        <v>37</v>
      </c>
      <c r="H341">
        <v>2</v>
      </c>
      <c r="I341" s="3">
        <v>69</v>
      </c>
      <c r="J341" s="4">
        <v>0.1</v>
      </c>
      <c r="K341" s="5">
        <v>124.2</v>
      </c>
      <c r="L341" t="s">
        <v>23</v>
      </c>
      <c r="M341">
        <v>5</v>
      </c>
    </row>
    <row r="342" spans="1:13">
      <c r="A342" t="s">
        <v>277</v>
      </c>
      <c r="B342" s="1">
        <v>45791</v>
      </c>
      <c r="C342" t="s">
        <v>54</v>
      </c>
      <c r="D342" t="s">
        <v>35</v>
      </c>
      <c r="E342" t="s">
        <v>20</v>
      </c>
      <c r="F342" t="s">
        <v>75</v>
      </c>
      <c r="G342" t="s">
        <v>2</v>
      </c>
      <c r="H342">
        <v>3</v>
      </c>
      <c r="I342" s="3">
        <v>45</v>
      </c>
      <c r="J342" s="4">
        <v>0.1</v>
      </c>
      <c r="K342" s="5">
        <v>121.5</v>
      </c>
      <c r="L342" t="s">
        <v>23</v>
      </c>
      <c r="M342">
        <v>5</v>
      </c>
    </row>
    <row r="343" spans="1:13">
      <c r="A343" t="s">
        <v>147</v>
      </c>
      <c r="B343" s="1">
        <v>45711</v>
      </c>
      <c r="C343" t="s">
        <v>57</v>
      </c>
      <c r="D343" t="s">
        <v>15</v>
      </c>
      <c r="E343" t="s">
        <v>20</v>
      </c>
      <c r="F343" t="s">
        <v>42</v>
      </c>
      <c r="G343" t="s">
        <v>37</v>
      </c>
      <c r="H343">
        <v>2</v>
      </c>
      <c r="I343" s="3">
        <v>59</v>
      </c>
      <c r="J343" s="4">
        <v>0</v>
      </c>
      <c r="K343" s="5">
        <v>118</v>
      </c>
      <c r="L343" t="s">
        <v>18</v>
      </c>
      <c r="M343">
        <v>3</v>
      </c>
    </row>
    <row r="344" spans="1:13">
      <c r="A344" t="s">
        <v>183</v>
      </c>
      <c r="B344" s="1">
        <v>45726</v>
      </c>
      <c r="C344" t="s">
        <v>57</v>
      </c>
      <c r="D344" t="s">
        <v>15</v>
      </c>
      <c r="E344" t="s">
        <v>20</v>
      </c>
      <c r="F344" t="s">
        <v>42</v>
      </c>
      <c r="G344" t="s">
        <v>22</v>
      </c>
      <c r="H344">
        <v>2</v>
      </c>
      <c r="I344" s="3">
        <v>59</v>
      </c>
      <c r="J344" s="4">
        <v>0</v>
      </c>
      <c r="K344" s="5">
        <v>118</v>
      </c>
      <c r="L344" t="s">
        <v>51</v>
      </c>
      <c r="M344">
        <v>4</v>
      </c>
    </row>
    <row r="345" spans="1:13">
      <c r="A345" t="s">
        <v>465</v>
      </c>
      <c r="B345" s="1">
        <v>45916</v>
      </c>
      <c r="C345" t="s">
        <v>54</v>
      </c>
      <c r="D345" t="s">
        <v>35</v>
      </c>
      <c r="E345" t="s">
        <v>20</v>
      </c>
      <c r="F345" t="s">
        <v>42</v>
      </c>
      <c r="G345" t="s">
        <v>37</v>
      </c>
      <c r="H345">
        <v>2</v>
      </c>
      <c r="I345" s="3">
        <v>59</v>
      </c>
      <c r="J345" s="4">
        <v>0</v>
      </c>
      <c r="K345" s="5">
        <v>118</v>
      </c>
      <c r="L345" t="s">
        <v>23</v>
      </c>
    </row>
    <row r="346" spans="1:13">
      <c r="A346" t="s">
        <v>336</v>
      </c>
      <c r="B346" s="1">
        <v>45824</v>
      </c>
      <c r="C346" t="s">
        <v>44</v>
      </c>
      <c r="D346" t="s">
        <v>45</v>
      </c>
      <c r="E346" t="s">
        <v>20</v>
      </c>
      <c r="F346" t="s">
        <v>42</v>
      </c>
      <c r="G346" t="s">
        <v>2</v>
      </c>
      <c r="H346">
        <v>2</v>
      </c>
      <c r="I346" s="3">
        <v>59</v>
      </c>
      <c r="J346" s="4">
        <v>0</v>
      </c>
      <c r="K346" s="5">
        <v>118</v>
      </c>
      <c r="L346" t="s">
        <v>51</v>
      </c>
      <c r="M346">
        <v>5</v>
      </c>
    </row>
    <row r="347" spans="1:13">
      <c r="A347" t="s">
        <v>401</v>
      </c>
      <c r="B347" s="1">
        <v>45874</v>
      </c>
      <c r="C347" t="s">
        <v>44</v>
      </c>
      <c r="D347" t="s">
        <v>45</v>
      </c>
      <c r="E347" t="s">
        <v>20</v>
      </c>
      <c r="F347" t="s">
        <v>42</v>
      </c>
      <c r="G347" t="s">
        <v>37</v>
      </c>
      <c r="H347">
        <v>2</v>
      </c>
      <c r="I347" s="3">
        <v>59</v>
      </c>
      <c r="J347" s="4">
        <v>0</v>
      </c>
      <c r="K347" s="5">
        <v>118</v>
      </c>
      <c r="L347" t="s">
        <v>51</v>
      </c>
      <c r="M347">
        <v>5</v>
      </c>
    </row>
    <row r="348" spans="1:13">
      <c r="A348" t="s">
        <v>372</v>
      </c>
      <c r="B348" s="1">
        <v>45851</v>
      </c>
      <c r="C348" t="s">
        <v>57</v>
      </c>
      <c r="D348" t="s">
        <v>15</v>
      </c>
      <c r="E348" t="s">
        <v>20</v>
      </c>
      <c r="F348" t="s">
        <v>42</v>
      </c>
      <c r="G348" t="s">
        <v>22</v>
      </c>
      <c r="H348">
        <v>2</v>
      </c>
      <c r="I348" s="3">
        <v>59</v>
      </c>
      <c r="J348" s="4">
        <v>0.05</v>
      </c>
      <c r="K348" s="5">
        <v>112.1</v>
      </c>
      <c r="L348" t="s">
        <v>51</v>
      </c>
      <c r="M348">
        <v>5</v>
      </c>
    </row>
    <row r="349" spans="1:13">
      <c r="A349" t="s">
        <v>577</v>
      </c>
      <c r="B349" s="1">
        <v>45978</v>
      </c>
      <c r="C349" t="s">
        <v>34</v>
      </c>
      <c r="D349" t="s">
        <v>35</v>
      </c>
      <c r="E349" t="s">
        <v>20</v>
      </c>
      <c r="F349" t="s">
        <v>75</v>
      </c>
      <c r="G349" t="s">
        <v>2</v>
      </c>
      <c r="H349">
        <v>3</v>
      </c>
      <c r="I349" s="3">
        <v>45</v>
      </c>
      <c r="J349" s="4">
        <v>0.2</v>
      </c>
      <c r="K349" s="5">
        <v>108</v>
      </c>
      <c r="L349" t="s">
        <v>23</v>
      </c>
      <c r="M349">
        <v>4</v>
      </c>
    </row>
    <row r="350" spans="1:13">
      <c r="A350" t="s">
        <v>153</v>
      </c>
      <c r="B350" s="1">
        <v>45715</v>
      </c>
      <c r="C350" t="s">
        <v>14</v>
      </c>
      <c r="D350" t="s">
        <v>15</v>
      </c>
      <c r="E350" t="s">
        <v>20</v>
      </c>
      <c r="F350" t="s">
        <v>55</v>
      </c>
      <c r="G350" t="s">
        <v>22</v>
      </c>
      <c r="H350">
        <v>3</v>
      </c>
      <c r="I350" s="3">
        <v>35</v>
      </c>
      <c r="J350" s="4">
        <v>0</v>
      </c>
      <c r="K350" s="5">
        <v>105</v>
      </c>
      <c r="L350" t="s">
        <v>18</v>
      </c>
    </row>
    <row r="351" spans="1:13">
      <c r="A351" t="s">
        <v>165</v>
      </c>
      <c r="B351" s="1">
        <v>45719</v>
      </c>
      <c r="C351" t="s">
        <v>34</v>
      </c>
      <c r="D351" t="s">
        <v>35</v>
      </c>
      <c r="E351" t="s">
        <v>20</v>
      </c>
      <c r="F351" t="s">
        <v>55</v>
      </c>
      <c r="G351" t="s">
        <v>2</v>
      </c>
      <c r="H351">
        <v>3</v>
      </c>
      <c r="I351" s="3">
        <v>35</v>
      </c>
      <c r="J351" s="4">
        <v>0</v>
      </c>
      <c r="K351" s="5">
        <v>105</v>
      </c>
      <c r="L351" t="s">
        <v>51</v>
      </c>
      <c r="M351">
        <v>3</v>
      </c>
    </row>
    <row r="352" spans="1:13">
      <c r="A352" t="s">
        <v>182</v>
      </c>
      <c r="B352" s="1">
        <v>45726</v>
      </c>
      <c r="C352" t="s">
        <v>34</v>
      </c>
      <c r="D352" t="s">
        <v>35</v>
      </c>
      <c r="E352" t="s">
        <v>20</v>
      </c>
      <c r="F352" t="s">
        <v>55</v>
      </c>
      <c r="G352" t="s">
        <v>2</v>
      </c>
      <c r="H352">
        <v>3</v>
      </c>
      <c r="I352" s="3">
        <v>35</v>
      </c>
      <c r="J352" s="4">
        <v>0</v>
      </c>
      <c r="K352" s="5">
        <v>105</v>
      </c>
      <c r="L352" t="s">
        <v>18</v>
      </c>
      <c r="M352">
        <v>4</v>
      </c>
    </row>
    <row r="353" spans="1:13">
      <c r="A353" t="s">
        <v>208</v>
      </c>
      <c r="B353" s="1">
        <v>45743</v>
      </c>
      <c r="C353" t="s">
        <v>44</v>
      </c>
      <c r="D353" t="s">
        <v>45</v>
      </c>
      <c r="E353" t="s">
        <v>20</v>
      </c>
      <c r="F353" t="s">
        <v>55</v>
      </c>
      <c r="G353" t="s">
        <v>2</v>
      </c>
      <c r="H353">
        <v>3</v>
      </c>
      <c r="I353" s="3">
        <v>35</v>
      </c>
      <c r="J353" s="4">
        <v>0</v>
      </c>
      <c r="K353" s="5">
        <v>105</v>
      </c>
      <c r="L353" t="s">
        <v>51</v>
      </c>
      <c r="M353">
        <v>5</v>
      </c>
    </row>
    <row r="354" spans="1:13">
      <c r="A354" t="s">
        <v>363</v>
      </c>
      <c r="B354" s="1">
        <v>45845</v>
      </c>
      <c r="C354" t="s">
        <v>34</v>
      </c>
      <c r="D354" t="s">
        <v>35</v>
      </c>
      <c r="E354" t="s">
        <v>20</v>
      </c>
      <c r="F354" t="s">
        <v>55</v>
      </c>
      <c r="G354" t="s">
        <v>2</v>
      </c>
      <c r="H354">
        <v>3</v>
      </c>
      <c r="I354" s="3">
        <v>35</v>
      </c>
      <c r="J354" s="4">
        <v>0</v>
      </c>
      <c r="K354" s="5">
        <v>105</v>
      </c>
      <c r="L354" t="s">
        <v>23</v>
      </c>
      <c r="M354">
        <v>4</v>
      </c>
    </row>
    <row r="355" spans="1:13">
      <c r="A355" t="s">
        <v>411</v>
      </c>
      <c r="B355" s="1">
        <v>45881</v>
      </c>
      <c r="C355" t="s">
        <v>34</v>
      </c>
      <c r="D355" t="s">
        <v>35</v>
      </c>
      <c r="E355" t="s">
        <v>20</v>
      </c>
      <c r="F355" t="s">
        <v>55</v>
      </c>
      <c r="G355" t="s">
        <v>22</v>
      </c>
      <c r="H355">
        <v>3</v>
      </c>
      <c r="I355" s="3">
        <v>35</v>
      </c>
      <c r="J355" s="4">
        <v>0</v>
      </c>
      <c r="K355" s="5">
        <v>105</v>
      </c>
      <c r="L355" t="s">
        <v>18</v>
      </c>
    </row>
    <row r="356" spans="1:13">
      <c r="A356" t="s">
        <v>159</v>
      </c>
      <c r="B356" s="1">
        <v>45716</v>
      </c>
      <c r="C356" t="s">
        <v>34</v>
      </c>
      <c r="D356" t="s">
        <v>35</v>
      </c>
      <c r="E356" t="s">
        <v>20</v>
      </c>
      <c r="F356" t="s">
        <v>55</v>
      </c>
      <c r="G356" t="s">
        <v>2</v>
      </c>
      <c r="H356">
        <v>3</v>
      </c>
      <c r="I356" s="3">
        <v>35</v>
      </c>
      <c r="J356" s="4">
        <v>0.05</v>
      </c>
      <c r="K356" s="5">
        <v>99.75</v>
      </c>
      <c r="L356" t="s">
        <v>38</v>
      </c>
      <c r="M356">
        <v>4</v>
      </c>
    </row>
    <row r="357" spans="1:13">
      <c r="A357" t="s">
        <v>82</v>
      </c>
      <c r="B357" s="1">
        <v>45680</v>
      </c>
      <c r="C357" t="s">
        <v>31</v>
      </c>
      <c r="D357" t="s">
        <v>15</v>
      </c>
      <c r="E357" t="s">
        <v>20</v>
      </c>
      <c r="F357" t="s">
        <v>55</v>
      </c>
      <c r="G357" t="s">
        <v>22</v>
      </c>
      <c r="H357">
        <v>3</v>
      </c>
      <c r="I357" s="3">
        <v>35</v>
      </c>
      <c r="J357" s="4">
        <v>0.1</v>
      </c>
      <c r="K357" s="5">
        <v>94.5</v>
      </c>
      <c r="L357" t="s">
        <v>23</v>
      </c>
      <c r="M357">
        <v>4</v>
      </c>
    </row>
    <row r="358" spans="1:13">
      <c r="A358" t="s">
        <v>346</v>
      </c>
      <c r="B358" s="1">
        <v>45829</v>
      </c>
      <c r="C358" t="s">
        <v>31</v>
      </c>
      <c r="D358" t="s">
        <v>15</v>
      </c>
      <c r="E358" t="s">
        <v>20</v>
      </c>
      <c r="F358" t="s">
        <v>42</v>
      </c>
      <c r="G358" t="s">
        <v>22</v>
      </c>
      <c r="H358">
        <v>2</v>
      </c>
      <c r="I358" s="3">
        <v>59</v>
      </c>
      <c r="J358" s="4">
        <v>0.2</v>
      </c>
      <c r="K358" s="5">
        <v>94.4</v>
      </c>
      <c r="L358" t="s">
        <v>51</v>
      </c>
      <c r="M358">
        <v>4</v>
      </c>
    </row>
    <row r="359" spans="1:13">
      <c r="A359" t="s">
        <v>126</v>
      </c>
      <c r="B359" s="1">
        <v>45700</v>
      </c>
      <c r="C359" t="s">
        <v>31</v>
      </c>
      <c r="D359" t="s">
        <v>15</v>
      </c>
      <c r="E359" t="s">
        <v>20</v>
      </c>
      <c r="F359" t="s">
        <v>75</v>
      </c>
      <c r="G359" t="s">
        <v>2</v>
      </c>
      <c r="H359">
        <v>2</v>
      </c>
      <c r="I359" s="3">
        <v>45</v>
      </c>
      <c r="J359" s="4">
        <v>0</v>
      </c>
      <c r="K359" s="5">
        <v>90</v>
      </c>
      <c r="L359" t="s">
        <v>18</v>
      </c>
      <c r="M359">
        <v>4</v>
      </c>
    </row>
    <row r="360" spans="1:13">
      <c r="A360" t="s">
        <v>453</v>
      </c>
      <c r="B360" s="1">
        <v>45910</v>
      </c>
      <c r="C360" t="s">
        <v>34</v>
      </c>
      <c r="D360" t="s">
        <v>35</v>
      </c>
      <c r="E360" t="s">
        <v>20</v>
      </c>
      <c r="F360" t="s">
        <v>75</v>
      </c>
      <c r="G360" t="s">
        <v>2</v>
      </c>
      <c r="H360">
        <v>2</v>
      </c>
      <c r="I360" s="3">
        <v>45</v>
      </c>
      <c r="J360" s="4">
        <v>0</v>
      </c>
      <c r="K360" s="5">
        <v>90</v>
      </c>
      <c r="L360" t="s">
        <v>23</v>
      </c>
      <c r="M360">
        <v>2</v>
      </c>
    </row>
    <row r="361" spans="1:13">
      <c r="A361" t="s">
        <v>523</v>
      </c>
      <c r="B361" s="1">
        <v>45946</v>
      </c>
      <c r="C361" t="s">
        <v>57</v>
      </c>
      <c r="D361" t="s">
        <v>15</v>
      </c>
      <c r="E361" t="s">
        <v>20</v>
      </c>
      <c r="F361" t="s">
        <v>75</v>
      </c>
      <c r="G361" t="s">
        <v>22</v>
      </c>
      <c r="H361">
        <v>2</v>
      </c>
      <c r="I361" s="3">
        <v>45</v>
      </c>
      <c r="J361" s="4">
        <v>0</v>
      </c>
      <c r="K361" s="5">
        <v>90</v>
      </c>
      <c r="L361" t="s">
        <v>23</v>
      </c>
      <c r="M361">
        <v>5</v>
      </c>
    </row>
    <row r="362" spans="1:13">
      <c r="A362" t="s">
        <v>433</v>
      </c>
      <c r="B362" s="1">
        <v>45899</v>
      </c>
      <c r="C362" t="s">
        <v>14</v>
      </c>
      <c r="D362" t="s">
        <v>15</v>
      </c>
      <c r="E362" t="s">
        <v>20</v>
      </c>
      <c r="F362" t="s">
        <v>75</v>
      </c>
      <c r="G362" t="s">
        <v>22</v>
      </c>
      <c r="H362">
        <v>2</v>
      </c>
      <c r="I362" s="3">
        <v>45</v>
      </c>
      <c r="J362" s="4">
        <v>0</v>
      </c>
      <c r="K362" s="5">
        <v>90</v>
      </c>
      <c r="L362" t="s">
        <v>38</v>
      </c>
      <c r="M362">
        <v>5</v>
      </c>
    </row>
    <row r="363" spans="1:13">
      <c r="A363" t="s">
        <v>503</v>
      </c>
      <c r="B363" s="1">
        <v>45936</v>
      </c>
      <c r="C363" t="s">
        <v>34</v>
      </c>
      <c r="D363" t="s">
        <v>35</v>
      </c>
      <c r="E363" t="s">
        <v>20</v>
      </c>
      <c r="F363" t="s">
        <v>75</v>
      </c>
      <c r="G363" t="s">
        <v>22</v>
      </c>
      <c r="H363">
        <v>2</v>
      </c>
      <c r="I363" s="3">
        <v>45</v>
      </c>
      <c r="J363" s="4">
        <v>0</v>
      </c>
      <c r="K363" s="5">
        <v>90</v>
      </c>
      <c r="L363" t="s">
        <v>18</v>
      </c>
      <c r="M363">
        <v>4</v>
      </c>
    </row>
    <row r="364" spans="1:13">
      <c r="A364" t="s">
        <v>558</v>
      </c>
      <c r="B364" s="1">
        <v>45967</v>
      </c>
      <c r="C364" t="s">
        <v>40</v>
      </c>
      <c r="D364" t="s">
        <v>41</v>
      </c>
      <c r="E364" t="s">
        <v>20</v>
      </c>
      <c r="F364" t="s">
        <v>75</v>
      </c>
      <c r="G364" t="s">
        <v>2</v>
      </c>
      <c r="H364">
        <v>2</v>
      </c>
      <c r="I364" s="3">
        <v>45</v>
      </c>
      <c r="J364" s="4">
        <v>0</v>
      </c>
      <c r="K364" s="5">
        <v>90</v>
      </c>
      <c r="L364" t="s">
        <v>38</v>
      </c>
      <c r="M364">
        <v>4</v>
      </c>
    </row>
    <row r="365" spans="1:13">
      <c r="A365" t="s">
        <v>622</v>
      </c>
      <c r="B365" s="1">
        <v>46000</v>
      </c>
      <c r="C365" t="s">
        <v>34</v>
      </c>
      <c r="D365" t="s">
        <v>35</v>
      </c>
      <c r="E365" t="s">
        <v>20</v>
      </c>
      <c r="F365" t="s">
        <v>75</v>
      </c>
      <c r="G365" t="s">
        <v>2</v>
      </c>
      <c r="H365">
        <v>2</v>
      </c>
      <c r="I365" s="3">
        <v>45</v>
      </c>
      <c r="J365" s="4">
        <v>0</v>
      </c>
      <c r="K365" s="5">
        <v>90</v>
      </c>
      <c r="L365" t="s">
        <v>51</v>
      </c>
      <c r="M365">
        <v>5</v>
      </c>
    </row>
    <row r="366" spans="1:13">
      <c r="A366" t="s">
        <v>378</v>
      </c>
      <c r="B366" s="1">
        <v>45855</v>
      </c>
      <c r="C366" t="s">
        <v>40</v>
      </c>
      <c r="D366" t="s">
        <v>41</v>
      </c>
      <c r="E366" t="s">
        <v>20</v>
      </c>
      <c r="F366" t="s">
        <v>55</v>
      </c>
      <c r="G366" t="s">
        <v>2</v>
      </c>
      <c r="H366">
        <v>3</v>
      </c>
      <c r="I366" s="3">
        <v>35</v>
      </c>
      <c r="J366" s="4">
        <v>0.15</v>
      </c>
      <c r="K366" s="5">
        <v>89.25</v>
      </c>
      <c r="L366" t="s">
        <v>23</v>
      </c>
      <c r="M366">
        <v>5</v>
      </c>
    </row>
    <row r="367" spans="1:13">
      <c r="A367" t="s">
        <v>30</v>
      </c>
      <c r="B367" s="1">
        <v>45661</v>
      </c>
      <c r="C367" t="s">
        <v>31</v>
      </c>
      <c r="D367" t="s">
        <v>15</v>
      </c>
      <c r="E367" t="s">
        <v>16</v>
      </c>
      <c r="F367" t="s">
        <v>32</v>
      </c>
      <c r="G367" t="s">
        <v>2</v>
      </c>
      <c r="H367">
        <v>1</v>
      </c>
      <c r="I367" s="3">
        <v>89</v>
      </c>
      <c r="J367" s="4">
        <v>0</v>
      </c>
      <c r="K367" s="5">
        <v>89</v>
      </c>
      <c r="L367" t="s">
        <v>23</v>
      </c>
      <c r="M367">
        <v>3</v>
      </c>
    </row>
    <row r="368" spans="1:13">
      <c r="A368" t="s">
        <v>137</v>
      </c>
      <c r="B368" s="1">
        <v>45706</v>
      </c>
      <c r="C368" t="s">
        <v>31</v>
      </c>
      <c r="D368" t="s">
        <v>15</v>
      </c>
      <c r="E368" t="s">
        <v>16</v>
      </c>
      <c r="F368" t="s">
        <v>32</v>
      </c>
      <c r="G368" t="s">
        <v>2</v>
      </c>
      <c r="H368">
        <v>1</v>
      </c>
      <c r="I368" s="3">
        <v>89</v>
      </c>
      <c r="J368" s="4">
        <v>0</v>
      </c>
      <c r="K368" s="5">
        <v>89</v>
      </c>
      <c r="L368" t="s">
        <v>23</v>
      </c>
      <c r="M368">
        <v>5</v>
      </c>
    </row>
    <row r="369" spans="1:13">
      <c r="A369" t="s">
        <v>138</v>
      </c>
      <c r="B369" s="1">
        <v>45706</v>
      </c>
      <c r="C369" t="s">
        <v>34</v>
      </c>
      <c r="D369" t="s">
        <v>35</v>
      </c>
      <c r="E369" t="s">
        <v>16</v>
      </c>
      <c r="F369" t="s">
        <v>32</v>
      </c>
      <c r="G369" t="s">
        <v>2</v>
      </c>
      <c r="H369">
        <v>1</v>
      </c>
      <c r="I369" s="3">
        <v>89</v>
      </c>
      <c r="J369" s="4">
        <v>0</v>
      </c>
      <c r="K369" s="5">
        <v>89</v>
      </c>
      <c r="L369" t="s">
        <v>23</v>
      </c>
      <c r="M369">
        <v>5</v>
      </c>
    </row>
    <row r="370" spans="1:13">
      <c r="A370" t="s">
        <v>146</v>
      </c>
      <c r="B370" s="1">
        <v>45709</v>
      </c>
      <c r="C370" t="s">
        <v>25</v>
      </c>
      <c r="D370" t="s">
        <v>15</v>
      </c>
      <c r="E370" t="s">
        <v>16</v>
      </c>
      <c r="F370" t="s">
        <v>32</v>
      </c>
      <c r="G370" t="s">
        <v>2</v>
      </c>
      <c r="H370">
        <v>1</v>
      </c>
      <c r="I370" s="3">
        <v>89</v>
      </c>
      <c r="J370" s="4">
        <v>0</v>
      </c>
      <c r="K370" s="5">
        <v>89</v>
      </c>
      <c r="L370" t="s">
        <v>23</v>
      </c>
      <c r="M370">
        <v>5</v>
      </c>
    </row>
    <row r="371" spans="1:13">
      <c r="A371" t="s">
        <v>158</v>
      </c>
      <c r="B371" s="1">
        <v>45716</v>
      </c>
      <c r="C371" t="s">
        <v>40</v>
      </c>
      <c r="D371" t="s">
        <v>41</v>
      </c>
      <c r="E371" t="s">
        <v>16</v>
      </c>
      <c r="F371" t="s">
        <v>32</v>
      </c>
      <c r="G371" t="s">
        <v>2</v>
      </c>
      <c r="H371">
        <v>1</v>
      </c>
      <c r="I371" s="3">
        <v>89</v>
      </c>
      <c r="J371" s="4">
        <v>0</v>
      </c>
      <c r="K371" s="5">
        <v>89</v>
      </c>
      <c r="L371" t="s">
        <v>18</v>
      </c>
      <c r="M371">
        <v>5</v>
      </c>
    </row>
    <row r="372" spans="1:13">
      <c r="A372" t="s">
        <v>212</v>
      </c>
      <c r="B372" s="1">
        <v>45745</v>
      </c>
      <c r="C372" t="s">
        <v>57</v>
      </c>
      <c r="D372" t="s">
        <v>15</v>
      </c>
      <c r="E372" t="s">
        <v>16</v>
      </c>
      <c r="F372" t="s">
        <v>32</v>
      </c>
      <c r="G372" t="s">
        <v>2</v>
      </c>
      <c r="H372">
        <v>1</v>
      </c>
      <c r="I372" s="3">
        <v>89</v>
      </c>
      <c r="J372" s="4">
        <v>0</v>
      </c>
      <c r="K372" s="5">
        <v>89</v>
      </c>
      <c r="L372" t="s">
        <v>23</v>
      </c>
      <c r="M372">
        <v>2</v>
      </c>
    </row>
    <row r="373" spans="1:13">
      <c r="A373" t="s">
        <v>248</v>
      </c>
      <c r="B373" s="1">
        <v>45774</v>
      </c>
      <c r="C373" t="s">
        <v>40</v>
      </c>
      <c r="D373" t="s">
        <v>41</v>
      </c>
      <c r="E373" t="s">
        <v>16</v>
      </c>
      <c r="F373" t="s">
        <v>32</v>
      </c>
      <c r="G373" t="s">
        <v>2</v>
      </c>
      <c r="H373">
        <v>1</v>
      </c>
      <c r="I373" s="3">
        <v>89</v>
      </c>
      <c r="J373" s="4">
        <v>0</v>
      </c>
      <c r="K373" s="5">
        <v>89</v>
      </c>
      <c r="L373" t="s">
        <v>23</v>
      </c>
      <c r="M373">
        <v>3</v>
      </c>
    </row>
    <row r="374" spans="1:13">
      <c r="A374" t="s">
        <v>269</v>
      </c>
      <c r="B374" s="1">
        <v>45785</v>
      </c>
      <c r="C374" t="s">
        <v>34</v>
      </c>
      <c r="D374" t="s">
        <v>35</v>
      </c>
      <c r="E374" t="s">
        <v>16</v>
      </c>
      <c r="F374" t="s">
        <v>32</v>
      </c>
      <c r="G374" t="s">
        <v>2</v>
      </c>
      <c r="H374">
        <v>1</v>
      </c>
      <c r="I374" s="3">
        <v>89</v>
      </c>
      <c r="J374" s="4">
        <v>0</v>
      </c>
      <c r="K374" s="5">
        <v>89</v>
      </c>
      <c r="L374" t="s">
        <v>38</v>
      </c>
      <c r="M374">
        <v>5</v>
      </c>
    </row>
    <row r="375" spans="1:13">
      <c r="A375" t="s">
        <v>279</v>
      </c>
      <c r="B375" s="1">
        <v>45793</v>
      </c>
      <c r="C375" t="s">
        <v>40</v>
      </c>
      <c r="D375" t="s">
        <v>41</v>
      </c>
      <c r="E375" t="s">
        <v>16</v>
      </c>
      <c r="F375" t="s">
        <v>32</v>
      </c>
      <c r="G375" t="s">
        <v>2</v>
      </c>
      <c r="H375">
        <v>1</v>
      </c>
      <c r="I375" s="3">
        <v>89</v>
      </c>
      <c r="J375" s="4">
        <v>0</v>
      </c>
      <c r="K375" s="5">
        <v>89</v>
      </c>
      <c r="L375" t="s">
        <v>23</v>
      </c>
      <c r="M375">
        <v>4</v>
      </c>
    </row>
    <row r="376" spans="1:13">
      <c r="A376" t="s">
        <v>370</v>
      </c>
      <c r="B376" s="1">
        <v>45851</v>
      </c>
      <c r="C376" t="s">
        <v>14</v>
      </c>
      <c r="D376" t="s">
        <v>15</v>
      </c>
      <c r="E376" t="s">
        <v>16</v>
      </c>
      <c r="F376" t="s">
        <v>32</v>
      </c>
      <c r="G376" t="s">
        <v>2</v>
      </c>
      <c r="H376">
        <v>1</v>
      </c>
      <c r="I376" s="3">
        <v>89</v>
      </c>
      <c r="J376" s="4">
        <v>0</v>
      </c>
      <c r="K376" s="5">
        <v>89</v>
      </c>
      <c r="L376" t="s">
        <v>51</v>
      </c>
      <c r="M376">
        <v>5</v>
      </c>
    </row>
    <row r="377" spans="1:13">
      <c r="A377" t="s">
        <v>395</v>
      </c>
      <c r="B377" s="1">
        <v>45869</v>
      </c>
      <c r="C377" t="s">
        <v>40</v>
      </c>
      <c r="D377" t="s">
        <v>41</v>
      </c>
      <c r="E377" t="s">
        <v>16</v>
      </c>
      <c r="F377" t="s">
        <v>32</v>
      </c>
      <c r="G377" t="s">
        <v>2</v>
      </c>
      <c r="H377">
        <v>1</v>
      </c>
      <c r="I377" s="3">
        <v>89</v>
      </c>
      <c r="J377" s="4">
        <v>0</v>
      </c>
      <c r="K377" s="5">
        <v>89</v>
      </c>
      <c r="L377" t="s">
        <v>51</v>
      </c>
      <c r="M377">
        <v>4</v>
      </c>
    </row>
    <row r="378" spans="1:13">
      <c r="A378" t="s">
        <v>420</v>
      </c>
      <c r="B378" s="1">
        <v>45888</v>
      </c>
      <c r="C378" t="s">
        <v>34</v>
      </c>
      <c r="D378" t="s">
        <v>35</v>
      </c>
      <c r="E378" t="s">
        <v>16</v>
      </c>
      <c r="F378" t="s">
        <v>32</v>
      </c>
      <c r="G378" t="s">
        <v>2</v>
      </c>
      <c r="H378">
        <v>1</v>
      </c>
      <c r="I378" s="3">
        <v>89</v>
      </c>
      <c r="J378" s="4">
        <v>0</v>
      </c>
      <c r="K378" s="5">
        <v>89</v>
      </c>
      <c r="L378" t="s">
        <v>18</v>
      </c>
      <c r="M378">
        <v>5</v>
      </c>
    </row>
    <row r="379" spans="1:13">
      <c r="A379" t="s">
        <v>487</v>
      </c>
      <c r="B379" s="1">
        <v>45928</v>
      </c>
      <c r="C379" t="s">
        <v>34</v>
      </c>
      <c r="D379" t="s">
        <v>35</v>
      </c>
      <c r="E379" t="s">
        <v>16</v>
      </c>
      <c r="F379" t="s">
        <v>32</v>
      </c>
      <c r="G379" t="s">
        <v>2</v>
      </c>
      <c r="H379">
        <v>1</v>
      </c>
      <c r="I379" s="3">
        <v>89</v>
      </c>
      <c r="J379" s="4">
        <v>0</v>
      </c>
      <c r="K379" s="5">
        <v>89</v>
      </c>
      <c r="L379" t="s">
        <v>38</v>
      </c>
      <c r="M379">
        <v>4</v>
      </c>
    </row>
    <row r="380" spans="1:13">
      <c r="A380" t="s">
        <v>550</v>
      </c>
      <c r="B380" s="1">
        <v>45962</v>
      </c>
      <c r="C380" t="s">
        <v>57</v>
      </c>
      <c r="D380" t="s">
        <v>15</v>
      </c>
      <c r="E380" t="s">
        <v>16</v>
      </c>
      <c r="F380" t="s">
        <v>32</v>
      </c>
      <c r="G380" t="s">
        <v>2</v>
      </c>
      <c r="H380">
        <v>1</v>
      </c>
      <c r="I380" s="3">
        <v>89</v>
      </c>
      <c r="J380" s="4">
        <v>0</v>
      </c>
      <c r="K380" s="5">
        <v>89</v>
      </c>
      <c r="L380" t="s">
        <v>18</v>
      </c>
      <c r="M380">
        <v>4</v>
      </c>
    </row>
    <row r="381" spans="1:13">
      <c r="A381" t="s">
        <v>599</v>
      </c>
      <c r="B381" s="1">
        <v>45988</v>
      </c>
      <c r="C381" t="s">
        <v>57</v>
      </c>
      <c r="D381" t="s">
        <v>15</v>
      </c>
      <c r="E381" t="s">
        <v>16</v>
      </c>
      <c r="F381" t="s">
        <v>32</v>
      </c>
      <c r="G381" t="s">
        <v>2</v>
      </c>
      <c r="H381">
        <v>1</v>
      </c>
      <c r="I381" s="3">
        <v>89</v>
      </c>
      <c r="J381" s="4">
        <v>0</v>
      </c>
      <c r="K381" s="5">
        <v>89</v>
      </c>
      <c r="L381" t="s">
        <v>23</v>
      </c>
      <c r="M381">
        <v>5</v>
      </c>
    </row>
    <row r="382" spans="1:13">
      <c r="A382" t="s">
        <v>656</v>
      </c>
      <c r="B382" s="1">
        <v>46021</v>
      </c>
      <c r="C382" t="s">
        <v>57</v>
      </c>
      <c r="D382" t="s">
        <v>15</v>
      </c>
      <c r="E382" t="s">
        <v>16</v>
      </c>
      <c r="F382" t="s">
        <v>32</v>
      </c>
      <c r="G382" t="s">
        <v>2</v>
      </c>
      <c r="H382">
        <v>1</v>
      </c>
      <c r="I382" s="3">
        <v>89</v>
      </c>
      <c r="J382" s="4">
        <v>0</v>
      </c>
      <c r="K382" s="5">
        <v>89</v>
      </c>
      <c r="L382" t="s">
        <v>23</v>
      </c>
      <c r="M382">
        <v>2</v>
      </c>
    </row>
    <row r="383" spans="1:13">
      <c r="A383" t="s">
        <v>249</v>
      </c>
      <c r="B383" s="1">
        <v>45774</v>
      </c>
      <c r="C383" t="s">
        <v>31</v>
      </c>
      <c r="D383" t="s">
        <v>15</v>
      </c>
      <c r="E383" t="s">
        <v>20</v>
      </c>
      <c r="F383" t="s">
        <v>75</v>
      </c>
      <c r="G383" t="s">
        <v>37</v>
      </c>
      <c r="H383">
        <v>2</v>
      </c>
      <c r="I383" s="3">
        <v>45</v>
      </c>
      <c r="J383" s="4">
        <v>0.05</v>
      </c>
      <c r="K383" s="5">
        <v>85.5</v>
      </c>
      <c r="L383" t="s">
        <v>23</v>
      </c>
      <c r="M383">
        <v>5</v>
      </c>
    </row>
    <row r="384" spans="1:13">
      <c r="A384" t="s">
        <v>90</v>
      </c>
      <c r="B384" s="1">
        <v>45683</v>
      </c>
      <c r="C384" t="s">
        <v>57</v>
      </c>
      <c r="D384" t="s">
        <v>15</v>
      </c>
      <c r="E384" t="s">
        <v>16</v>
      </c>
      <c r="F384" t="s">
        <v>32</v>
      </c>
      <c r="G384" t="s">
        <v>2</v>
      </c>
      <c r="H384">
        <v>1</v>
      </c>
      <c r="I384" s="3">
        <v>89</v>
      </c>
      <c r="J384" s="4">
        <v>0.05</v>
      </c>
      <c r="K384" s="5">
        <v>84.55</v>
      </c>
      <c r="L384" t="s">
        <v>23</v>
      </c>
      <c r="M384">
        <v>5</v>
      </c>
    </row>
    <row r="385" spans="1:13">
      <c r="A385" t="s">
        <v>271</v>
      </c>
      <c r="B385" s="1">
        <v>45786</v>
      </c>
      <c r="C385" t="s">
        <v>14</v>
      </c>
      <c r="D385" t="s">
        <v>15</v>
      </c>
      <c r="E385" t="s">
        <v>16</v>
      </c>
      <c r="F385" t="s">
        <v>32</v>
      </c>
      <c r="G385" t="s">
        <v>2</v>
      </c>
      <c r="H385">
        <v>1</v>
      </c>
      <c r="I385" s="3">
        <v>89</v>
      </c>
      <c r="J385" s="4">
        <v>0.05</v>
      </c>
      <c r="K385" s="5">
        <v>84.55</v>
      </c>
      <c r="L385" t="s">
        <v>23</v>
      </c>
      <c r="M385">
        <v>4</v>
      </c>
    </row>
    <row r="386" spans="1:13">
      <c r="A386" t="s">
        <v>302</v>
      </c>
      <c r="B386" s="1">
        <v>45808</v>
      </c>
      <c r="C386" t="s">
        <v>40</v>
      </c>
      <c r="D386" t="s">
        <v>41</v>
      </c>
      <c r="E386" t="s">
        <v>16</v>
      </c>
      <c r="F386" t="s">
        <v>32</v>
      </c>
      <c r="G386" t="s">
        <v>2</v>
      </c>
      <c r="H386">
        <v>1</v>
      </c>
      <c r="I386" s="3">
        <v>89</v>
      </c>
      <c r="J386" s="4">
        <v>0.05</v>
      </c>
      <c r="K386" s="5">
        <v>84.55</v>
      </c>
      <c r="L386" t="s">
        <v>18</v>
      </c>
      <c r="M386">
        <v>3</v>
      </c>
    </row>
    <row r="387" spans="1:13">
      <c r="A387" t="s">
        <v>499</v>
      </c>
      <c r="B387" s="1">
        <v>45933</v>
      </c>
      <c r="C387" t="s">
        <v>57</v>
      </c>
      <c r="D387" t="s">
        <v>15</v>
      </c>
      <c r="E387" t="s">
        <v>16</v>
      </c>
      <c r="F387" t="s">
        <v>32</v>
      </c>
      <c r="G387" t="s">
        <v>2</v>
      </c>
      <c r="H387">
        <v>1</v>
      </c>
      <c r="I387" s="3">
        <v>89</v>
      </c>
      <c r="J387" s="4">
        <v>0.05</v>
      </c>
      <c r="K387" s="5">
        <v>84.55</v>
      </c>
      <c r="L387" t="s">
        <v>23</v>
      </c>
      <c r="M387">
        <v>4</v>
      </c>
    </row>
    <row r="388" spans="1:13">
      <c r="A388" t="s">
        <v>84</v>
      </c>
      <c r="B388" s="1">
        <v>45681</v>
      </c>
      <c r="C388" t="s">
        <v>25</v>
      </c>
      <c r="D388" t="s">
        <v>15</v>
      </c>
      <c r="E388" t="s">
        <v>20</v>
      </c>
      <c r="F388" t="s">
        <v>75</v>
      </c>
      <c r="G388" t="s">
        <v>22</v>
      </c>
      <c r="H388">
        <v>2</v>
      </c>
      <c r="I388" s="3">
        <v>45</v>
      </c>
      <c r="J388" s="4">
        <v>0.1</v>
      </c>
      <c r="K388" s="5">
        <v>81</v>
      </c>
      <c r="L388" t="s">
        <v>23</v>
      </c>
      <c r="M388">
        <v>4</v>
      </c>
    </row>
    <row r="389" spans="1:13">
      <c r="A389" t="s">
        <v>316</v>
      </c>
      <c r="B389" s="1">
        <v>45814</v>
      </c>
      <c r="C389" t="s">
        <v>54</v>
      </c>
      <c r="D389" t="s">
        <v>35</v>
      </c>
      <c r="E389" t="s">
        <v>20</v>
      </c>
      <c r="F389" t="s">
        <v>75</v>
      </c>
      <c r="G389" t="s">
        <v>22</v>
      </c>
      <c r="H389">
        <v>2</v>
      </c>
      <c r="I389" s="3">
        <v>45</v>
      </c>
      <c r="J389" s="4">
        <v>0.1</v>
      </c>
      <c r="K389" s="5">
        <v>81</v>
      </c>
      <c r="L389" t="s">
        <v>23</v>
      </c>
      <c r="M389">
        <v>3</v>
      </c>
    </row>
    <row r="390" spans="1:13">
      <c r="A390" t="s">
        <v>204</v>
      </c>
      <c r="B390" s="1">
        <v>45741</v>
      </c>
      <c r="C390" t="s">
        <v>34</v>
      </c>
      <c r="D390" t="s">
        <v>35</v>
      </c>
      <c r="E390" t="s">
        <v>16</v>
      </c>
      <c r="F390" t="s">
        <v>32</v>
      </c>
      <c r="G390" t="s">
        <v>2</v>
      </c>
      <c r="H390">
        <v>1</v>
      </c>
      <c r="I390" s="3">
        <v>89</v>
      </c>
      <c r="J390" s="4">
        <v>0.1</v>
      </c>
      <c r="K390" s="5">
        <v>80.099999999999994</v>
      </c>
      <c r="L390" t="s">
        <v>23</v>
      </c>
      <c r="M390">
        <v>5</v>
      </c>
    </row>
    <row r="391" spans="1:13">
      <c r="A391" t="s">
        <v>352</v>
      </c>
      <c r="B391" s="1">
        <v>45837</v>
      </c>
      <c r="C391" t="s">
        <v>44</v>
      </c>
      <c r="D391" t="s">
        <v>45</v>
      </c>
      <c r="E391" t="s">
        <v>16</v>
      </c>
      <c r="F391" t="s">
        <v>32</v>
      </c>
      <c r="G391" t="s">
        <v>2</v>
      </c>
      <c r="H391">
        <v>1</v>
      </c>
      <c r="I391" s="3">
        <v>89</v>
      </c>
      <c r="J391" s="4">
        <v>0.1</v>
      </c>
      <c r="K391" s="5">
        <v>80.099999999999994</v>
      </c>
      <c r="L391" t="s">
        <v>18</v>
      </c>
    </row>
    <row r="392" spans="1:13">
      <c r="A392" t="s">
        <v>464</v>
      </c>
      <c r="B392" s="1">
        <v>45915</v>
      </c>
      <c r="C392" t="s">
        <v>44</v>
      </c>
      <c r="D392" t="s">
        <v>45</v>
      </c>
      <c r="E392" t="s">
        <v>16</v>
      </c>
      <c r="F392" t="s">
        <v>32</v>
      </c>
      <c r="G392" t="s">
        <v>2</v>
      </c>
      <c r="H392">
        <v>1</v>
      </c>
      <c r="I392" s="3">
        <v>89</v>
      </c>
      <c r="J392" s="4">
        <v>0.1</v>
      </c>
      <c r="K392" s="5">
        <v>80.099999999999994</v>
      </c>
      <c r="L392" t="s">
        <v>23</v>
      </c>
      <c r="M392">
        <v>4</v>
      </c>
    </row>
    <row r="393" spans="1:13">
      <c r="A393" t="s">
        <v>536</v>
      </c>
      <c r="B393" s="1">
        <v>45955</v>
      </c>
      <c r="C393" t="s">
        <v>25</v>
      </c>
      <c r="D393" t="s">
        <v>15</v>
      </c>
      <c r="E393" t="s">
        <v>16</v>
      </c>
      <c r="F393" t="s">
        <v>32</v>
      </c>
      <c r="G393" t="s">
        <v>2</v>
      </c>
      <c r="H393">
        <v>1</v>
      </c>
      <c r="I393" s="3">
        <v>89</v>
      </c>
      <c r="J393" s="4">
        <v>0.1</v>
      </c>
      <c r="K393" s="5">
        <v>80.099999999999994</v>
      </c>
      <c r="L393" t="s">
        <v>18</v>
      </c>
      <c r="M393">
        <v>5</v>
      </c>
    </row>
    <row r="394" spans="1:13">
      <c r="A394" t="s">
        <v>569</v>
      </c>
      <c r="B394" s="1">
        <v>45971</v>
      </c>
      <c r="C394" t="s">
        <v>31</v>
      </c>
      <c r="D394" t="s">
        <v>15</v>
      </c>
      <c r="E394" t="s">
        <v>16</v>
      </c>
      <c r="F394" t="s">
        <v>32</v>
      </c>
      <c r="G394" t="s">
        <v>2</v>
      </c>
      <c r="H394">
        <v>1</v>
      </c>
      <c r="I394" s="3">
        <v>89</v>
      </c>
      <c r="J394" s="4">
        <v>0.1</v>
      </c>
      <c r="K394" s="5">
        <v>80.099999999999994</v>
      </c>
      <c r="L394" t="s">
        <v>23</v>
      </c>
      <c r="M394">
        <v>3</v>
      </c>
    </row>
    <row r="395" spans="1:13">
      <c r="A395" t="s">
        <v>404</v>
      </c>
      <c r="B395" s="1">
        <v>45877</v>
      </c>
      <c r="C395" t="s">
        <v>54</v>
      </c>
      <c r="D395" t="s">
        <v>35</v>
      </c>
      <c r="E395" t="s">
        <v>20</v>
      </c>
      <c r="F395" t="s">
        <v>75</v>
      </c>
      <c r="G395" t="s">
        <v>2</v>
      </c>
      <c r="H395">
        <v>2</v>
      </c>
      <c r="I395" s="3">
        <v>45</v>
      </c>
      <c r="J395" s="4">
        <v>0.15</v>
      </c>
      <c r="K395" s="5">
        <v>76.5</v>
      </c>
      <c r="L395" t="s">
        <v>23</v>
      </c>
      <c r="M395">
        <v>4</v>
      </c>
    </row>
    <row r="396" spans="1:13">
      <c r="A396" t="s">
        <v>101</v>
      </c>
      <c r="B396" s="1">
        <v>45688</v>
      </c>
      <c r="C396" t="s">
        <v>40</v>
      </c>
      <c r="D396" t="s">
        <v>41</v>
      </c>
      <c r="E396" t="s">
        <v>16</v>
      </c>
      <c r="F396" t="s">
        <v>32</v>
      </c>
      <c r="G396" t="s">
        <v>2</v>
      </c>
      <c r="H396">
        <v>1</v>
      </c>
      <c r="I396" s="3">
        <v>89</v>
      </c>
      <c r="J396" s="4">
        <v>0.15</v>
      </c>
      <c r="K396" s="5">
        <v>75.650000000000006</v>
      </c>
      <c r="L396" t="s">
        <v>23</v>
      </c>
      <c r="M396">
        <v>5</v>
      </c>
    </row>
    <row r="397" spans="1:13">
      <c r="A397" t="s">
        <v>130</v>
      </c>
      <c r="B397" s="1">
        <v>45700</v>
      </c>
      <c r="C397" t="s">
        <v>31</v>
      </c>
      <c r="D397" t="s">
        <v>15</v>
      </c>
      <c r="E397" t="s">
        <v>16</v>
      </c>
      <c r="F397" t="s">
        <v>32</v>
      </c>
      <c r="G397" t="s">
        <v>2</v>
      </c>
      <c r="H397">
        <v>1</v>
      </c>
      <c r="I397" s="3">
        <v>89</v>
      </c>
      <c r="J397" s="4">
        <v>0.15</v>
      </c>
      <c r="K397" s="5">
        <v>75.650000000000006</v>
      </c>
      <c r="L397" t="s">
        <v>23</v>
      </c>
      <c r="M397">
        <v>3</v>
      </c>
    </row>
    <row r="398" spans="1:13">
      <c r="A398" t="s">
        <v>361</v>
      </c>
      <c r="B398" s="1">
        <v>45843</v>
      </c>
      <c r="C398" t="s">
        <v>31</v>
      </c>
      <c r="D398" t="s">
        <v>15</v>
      </c>
      <c r="E398" t="s">
        <v>16</v>
      </c>
      <c r="F398" t="s">
        <v>32</v>
      </c>
      <c r="G398" t="s">
        <v>2</v>
      </c>
      <c r="H398">
        <v>1</v>
      </c>
      <c r="I398" s="3">
        <v>89</v>
      </c>
      <c r="J398" s="4">
        <v>0.15</v>
      </c>
      <c r="K398" s="5">
        <v>75.650000000000006</v>
      </c>
      <c r="L398" t="s">
        <v>23</v>
      </c>
      <c r="M398">
        <v>4</v>
      </c>
    </row>
    <row r="399" spans="1:13">
      <c r="A399" t="s">
        <v>645</v>
      </c>
      <c r="B399" s="1">
        <v>46014</v>
      </c>
      <c r="C399" t="s">
        <v>34</v>
      </c>
      <c r="D399" t="s">
        <v>35</v>
      </c>
      <c r="E399" t="s">
        <v>16</v>
      </c>
      <c r="F399" t="s">
        <v>32</v>
      </c>
      <c r="G399" t="s">
        <v>2</v>
      </c>
      <c r="H399">
        <v>1</v>
      </c>
      <c r="I399" s="3">
        <v>89</v>
      </c>
      <c r="J399" s="4">
        <v>0.15</v>
      </c>
      <c r="K399" s="5">
        <v>75.650000000000006</v>
      </c>
      <c r="L399" t="s">
        <v>23</v>
      </c>
      <c r="M399">
        <v>2</v>
      </c>
    </row>
    <row r="400" spans="1:13">
      <c r="A400" t="s">
        <v>647</v>
      </c>
      <c r="B400" s="1">
        <v>46015</v>
      </c>
      <c r="C400" t="s">
        <v>34</v>
      </c>
      <c r="D400" t="s">
        <v>35</v>
      </c>
      <c r="E400" t="s">
        <v>16</v>
      </c>
      <c r="F400" t="s">
        <v>32</v>
      </c>
      <c r="G400" t="s">
        <v>2</v>
      </c>
      <c r="H400">
        <v>1</v>
      </c>
      <c r="I400" s="3">
        <v>89</v>
      </c>
      <c r="J400" s="4">
        <v>0.15</v>
      </c>
      <c r="K400" s="5">
        <v>75.650000000000006</v>
      </c>
      <c r="L400" t="s">
        <v>38</v>
      </c>
      <c r="M400">
        <v>5</v>
      </c>
    </row>
    <row r="401" spans="1:13">
      <c r="A401" t="s">
        <v>400</v>
      </c>
      <c r="B401" s="1">
        <v>45873</v>
      </c>
      <c r="C401" t="s">
        <v>14</v>
      </c>
      <c r="D401" t="s">
        <v>15</v>
      </c>
      <c r="E401" t="s">
        <v>20</v>
      </c>
      <c r="F401" t="s">
        <v>55</v>
      </c>
      <c r="G401" t="s">
        <v>2</v>
      </c>
      <c r="H401">
        <v>2</v>
      </c>
      <c r="I401" s="3">
        <v>35</v>
      </c>
      <c r="J401" s="4">
        <v>0</v>
      </c>
      <c r="K401" s="5">
        <v>70</v>
      </c>
      <c r="L401" t="s">
        <v>23</v>
      </c>
      <c r="M401">
        <v>1</v>
      </c>
    </row>
    <row r="402" spans="1:13">
      <c r="A402" t="s">
        <v>528</v>
      </c>
      <c r="B402" s="1">
        <v>45949</v>
      </c>
      <c r="C402" t="s">
        <v>57</v>
      </c>
      <c r="D402" t="s">
        <v>15</v>
      </c>
      <c r="E402" t="s">
        <v>20</v>
      </c>
      <c r="F402" t="s">
        <v>55</v>
      </c>
      <c r="G402" t="s">
        <v>2</v>
      </c>
      <c r="H402">
        <v>2</v>
      </c>
      <c r="I402" s="3">
        <v>35</v>
      </c>
      <c r="J402" s="4">
        <v>0</v>
      </c>
      <c r="K402" s="5">
        <v>70</v>
      </c>
      <c r="L402" t="s">
        <v>23</v>
      </c>
    </row>
    <row r="403" spans="1:13">
      <c r="A403" t="s">
        <v>288</v>
      </c>
      <c r="B403" s="1">
        <v>45797</v>
      </c>
      <c r="C403" t="s">
        <v>31</v>
      </c>
      <c r="D403" t="s">
        <v>15</v>
      </c>
      <c r="E403" t="s">
        <v>20</v>
      </c>
      <c r="F403" t="s">
        <v>55</v>
      </c>
      <c r="G403" t="s">
        <v>22</v>
      </c>
      <c r="H403">
        <v>2</v>
      </c>
      <c r="I403" s="3">
        <v>35</v>
      </c>
      <c r="J403" s="4">
        <v>0</v>
      </c>
      <c r="K403" s="5">
        <v>70</v>
      </c>
      <c r="L403" t="s">
        <v>38</v>
      </c>
      <c r="M403">
        <v>5</v>
      </c>
    </row>
    <row r="404" spans="1:13">
      <c r="A404" t="s">
        <v>110</v>
      </c>
      <c r="B404" s="1">
        <v>45692</v>
      </c>
      <c r="C404" t="s">
        <v>54</v>
      </c>
      <c r="D404" t="s">
        <v>35</v>
      </c>
      <c r="E404" t="s">
        <v>20</v>
      </c>
      <c r="F404" t="s">
        <v>21</v>
      </c>
      <c r="G404" t="s">
        <v>37</v>
      </c>
      <c r="H404">
        <v>1</v>
      </c>
      <c r="I404" s="3">
        <v>69</v>
      </c>
      <c r="J404" s="4">
        <v>0</v>
      </c>
      <c r="K404" s="5">
        <v>69</v>
      </c>
      <c r="L404" t="s">
        <v>38</v>
      </c>
      <c r="M404">
        <v>5</v>
      </c>
    </row>
    <row r="405" spans="1:13">
      <c r="A405" t="s">
        <v>197</v>
      </c>
      <c r="B405" s="1">
        <v>45735</v>
      </c>
      <c r="C405" t="s">
        <v>34</v>
      </c>
      <c r="D405" t="s">
        <v>35</v>
      </c>
      <c r="E405" t="s">
        <v>20</v>
      </c>
      <c r="F405" t="s">
        <v>21</v>
      </c>
      <c r="G405" t="s">
        <v>22</v>
      </c>
      <c r="H405">
        <v>1</v>
      </c>
      <c r="I405" s="3">
        <v>69</v>
      </c>
      <c r="J405" s="4">
        <v>0</v>
      </c>
      <c r="K405" s="5">
        <v>69</v>
      </c>
      <c r="L405" t="s">
        <v>38</v>
      </c>
      <c r="M405">
        <v>5</v>
      </c>
    </row>
    <row r="406" spans="1:13">
      <c r="A406" t="s">
        <v>199</v>
      </c>
      <c r="B406" s="1">
        <v>45736</v>
      </c>
      <c r="C406" t="s">
        <v>54</v>
      </c>
      <c r="D406" t="s">
        <v>35</v>
      </c>
      <c r="E406" t="s">
        <v>20</v>
      </c>
      <c r="F406" t="s">
        <v>21</v>
      </c>
      <c r="G406" t="s">
        <v>2</v>
      </c>
      <c r="H406">
        <v>1</v>
      </c>
      <c r="I406" s="3">
        <v>69</v>
      </c>
      <c r="J406" s="4">
        <v>0</v>
      </c>
      <c r="K406" s="5">
        <v>69</v>
      </c>
      <c r="L406" t="s">
        <v>38</v>
      </c>
      <c r="M406">
        <v>4</v>
      </c>
    </row>
    <row r="407" spans="1:13">
      <c r="A407" t="s">
        <v>19</v>
      </c>
      <c r="B407" s="1">
        <v>45659</v>
      </c>
      <c r="C407" t="s">
        <v>14</v>
      </c>
      <c r="D407" t="s">
        <v>15</v>
      </c>
      <c r="E407" t="s">
        <v>20</v>
      </c>
      <c r="F407" t="s">
        <v>21</v>
      </c>
      <c r="G407" t="s">
        <v>22</v>
      </c>
      <c r="H407">
        <v>1</v>
      </c>
      <c r="I407" s="3">
        <v>69</v>
      </c>
      <c r="J407" s="4">
        <v>0</v>
      </c>
      <c r="K407" s="5">
        <v>69</v>
      </c>
      <c r="L407" t="s">
        <v>23</v>
      </c>
    </row>
    <row r="408" spans="1:13">
      <c r="A408" t="s">
        <v>136</v>
      </c>
      <c r="B408" s="1">
        <v>45704</v>
      </c>
      <c r="C408" t="s">
        <v>34</v>
      </c>
      <c r="D408" t="s">
        <v>35</v>
      </c>
      <c r="E408" t="s">
        <v>20</v>
      </c>
      <c r="F408" t="s">
        <v>21</v>
      </c>
      <c r="G408" t="s">
        <v>22</v>
      </c>
      <c r="H408">
        <v>1</v>
      </c>
      <c r="I408" s="3">
        <v>69</v>
      </c>
      <c r="J408" s="4">
        <v>0</v>
      </c>
      <c r="K408" s="5">
        <v>69</v>
      </c>
      <c r="L408" t="s">
        <v>23</v>
      </c>
      <c r="M408">
        <v>5</v>
      </c>
    </row>
    <row r="409" spans="1:13">
      <c r="A409" t="s">
        <v>154</v>
      </c>
      <c r="B409" s="1">
        <v>45715</v>
      </c>
      <c r="C409" t="s">
        <v>31</v>
      </c>
      <c r="D409" t="s">
        <v>15</v>
      </c>
      <c r="E409" t="s">
        <v>20</v>
      </c>
      <c r="F409" t="s">
        <v>21</v>
      </c>
      <c r="G409" t="s">
        <v>37</v>
      </c>
      <c r="H409">
        <v>1</v>
      </c>
      <c r="I409" s="3">
        <v>69</v>
      </c>
      <c r="J409" s="4">
        <v>0</v>
      </c>
      <c r="K409" s="5">
        <v>69</v>
      </c>
      <c r="L409" t="s">
        <v>23</v>
      </c>
      <c r="M409">
        <v>5</v>
      </c>
    </row>
    <row r="410" spans="1:13">
      <c r="A410" t="s">
        <v>250</v>
      </c>
      <c r="B410" s="1">
        <v>45774</v>
      </c>
      <c r="C410" t="s">
        <v>40</v>
      </c>
      <c r="D410" t="s">
        <v>41</v>
      </c>
      <c r="E410" t="s">
        <v>20</v>
      </c>
      <c r="F410" t="s">
        <v>21</v>
      </c>
      <c r="G410" t="s">
        <v>2</v>
      </c>
      <c r="H410">
        <v>1</v>
      </c>
      <c r="I410" s="3">
        <v>69</v>
      </c>
      <c r="J410" s="4">
        <v>0</v>
      </c>
      <c r="K410" s="5">
        <v>69</v>
      </c>
      <c r="L410" t="s">
        <v>23</v>
      </c>
      <c r="M410">
        <v>4</v>
      </c>
    </row>
    <row r="411" spans="1:13">
      <c r="A411" t="s">
        <v>270</v>
      </c>
      <c r="B411" s="1">
        <v>45785</v>
      </c>
      <c r="C411" t="s">
        <v>54</v>
      </c>
      <c r="D411" t="s">
        <v>35</v>
      </c>
      <c r="E411" t="s">
        <v>20</v>
      </c>
      <c r="F411" t="s">
        <v>21</v>
      </c>
      <c r="G411" t="s">
        <v>2</v>
      </c>
      <c r="H411">
        <v>1</v>
      </c>
      <c r="I411" s="3">
        <v>69</v>
      </c>
      <c r="J411" s="4">
        <v>0</v>
      </c>
      <c r="K411" s="5">
        <v>69</v>
      </c>
      <c r="L411" t="s">
        <v>23</v>
      </c>
      <c r="M411">
        <v>4</v>
      </c>
    </row>
    <row r="412" spans="1:13">
      <c r="A412" t="s">
        <v>309</v>
      </c>
      <c r="B412" s="1">
        <v>45811</v>
      </c>
      <c r="C412" t="s">
        <v>31</v>
      </c>
      <c r="D412" t="s">
        <v>15</v>
      </c>
      <c r="E412" t="s">
        <v>20</v>
      </c>
      <c r="F412" t="s">
        <v>21</v>
      </c>
      <c r="G412" t="s">
        <v>2</v>
      </c>
      <c r="H412">
        <v>1</v>
      </c>
      <c r="I412" s="3">
        <v>69</v>
      </c>
      <c r="J412" s="4">
        <v>0</v>
      </c>
      <c r="K412" s="5">
        <v>69</v>
      </c>
      <c r="L412" t="s">
        <v>23</v>
      </c>
      <c r="M412">
        <v>3</v>
      </c>
    </row>
    <row r="413" spans="1:13">
      <c r="A413" t="s">
        <v>408</v>
      </c>
      <c r="B413" s="1">
        <v>45879</v>
      </c>
      <c r="C413" t="s">
        <v>31</v>
      </c>
      <c r="D413" t="s">
        <v>15</v>
      </c>
      <c r="E413" t="s">
        <v>20</v>
      </c>
      <c r="F413" t="s">
        <v>21</v>
      </c>
      <c r="G413" t="s">
        <v>2</v>
      </c>
      <c r="H413">
        <v>1</v>
      </c>
      <c r="I413" s="3">
        <v>69</v>
      </c>
      <c r="J413" s="4">
        <v>0</v>
      </c>
      <c r="K413" s="5">
        <v>69</v>
      </c>
      <c r="L413" t="s">
        <v>23</v>
      </c>
      <c r="M413">
        <v>4</v>
      </c>
    </row>
    <row r="414" spans="1:13">
      <c r="A414" t="s">
        <v>343</v>
      </c>
      <c r="B414" s="1">
        <v>45828</v>
      </c>
      <c r="C414" t="s">
        <v>25</v>
      </c>
      <c r="D414" t="s">
        <v>15</v>
      </c>
      <c r="E414" t="s">
        <v>20</v>
      </c>
      <c r="F414" t="s">
        <v>21</v>
      </c>
      <c r="G414" t="s">
        <v>22</v>
      </c>
      <c r="H414">
        <v>1</v>
      </c>
      <c r="I414" s="3">
        <v>69</v>
      </c>
      <c r="J414" s="4">
        <v>0</v>
      </c>
      <c r="K414" s="5">
        <v>69</v>
      </c>
      <c r="L414" t="s">
        <v>38</v>
      </c>
      <c r="M414">
        <v>1</v>
      </c>
    </row>
    <row r="415" spans="1:13">
      <c r="A415" t="s">
        <v>491</v>
      </c>
      <c r="B415" s="1">
        <v>45929</v>
      </c>
      <c r="C415" t="s">
        <v>14</v>
      </c>
      <c r="D415" t="s">
        <v>15</v>
      </c>
      <c r="E415" t="s">
        <v>20</v>
      </c>
      <c r="F415" t="s">
        <v>21</v>
      </c>
      <c r="G415" t="s">
        <v>37</v>
      </c>
      <c r="H415">
        <v>1</v>
      </c>
      <c r="I415" s="3">
        <v>69</v>
      </c>
      <c r="J415" s="4">
        <v>0</v>
      </c>
      <c r="K415" s="5">
        <v>69</v>
      </c>
      <c r="L415" t="s">
        <v>23</v>
      </c>
      <c r="M415">
        <v>3</v>
      </c>
    </row>
    <row r="416" spans="1:13">
      <c r="A416" t="s">
        <v>610</v>
      </c>
      <c r="B416" s="1">
        <v>45994</v>
      </c>
      <c r="C416" t="s">
        <v>54</v>
      </c>
      <c r="D416" t="s">
        <v>35</v>
      </c>
      <c r="E416" t="s">
        <v>20</v>
      </c>
      <c r="F416" t="s">
        <v>21</v>
      </c>
      <c r="G416" t="s">
        <v>22</v>
      </c>
      <c r="H416">
        <v>1</v>
      </c>
      <c r="I416" s="3">
        <v>69</v>
      </c>
      <c r="J416" s="4">
        <v>0</v>
      </c>
      <c r="K416" s="5">
        <v>69</v>
      </c>
      <c r="L416" t="s">
        <v>23</v>
      </c>
      <c r="M416">
        <v>2</v>
      </c>
    </row>
    <row r="417" spans="1:13">
      <c r="A417" t="s">
        <v>353</v>
      </c>
      <c r="B417" s="1">
        <v>45838</v>
      </c>
      <c r="C417" t="s">
        <v>14</v>
      </c>
      <c r="D417" t="s">
        <v>15</v>
      </c>
      <c r="E417" t="s">
        <v>20</v>
      </c>
      <c r="F417" t="s">
        <v>21</v>
      </c>
      <c r="G417" t="s">
        <v>2</v>
      </c>
      <c r="H417">
        <v>1</v>
      </c>
      <c r="I417" s="3">
        <v>69</v>
      </c>
      <c r="J417" s="4">
        <v>0</v>
      </c>
      <c r="K417" s="5">
        <v>69</v>
      </c>
      <c r="L417" t="s">
        <v>18</v>
      </c>
      <c r="M417">
        <v>4</v>
      </c>
    </row>
    <row r="418" spans="1:13">
      <c r="A418" t="s">
        <v>663</v>
      </c>
      <c r="B418" s="1">
        <v>46022</v>
      </c>
      <c r="C418" t="s">
        <v>25</v>
      </c>
      <c r="D418" t="s">
        <v>15</v>
      </c>
      <c r="E418" t="s">
        <v>20</v>
      </c>
      <c r="F418" t="s">
        <v>21</v>
      </c>
      <c r="G418" t="s">
        <v>22</v>
      </c>
      <c r="H418">
        <v>1</v>
      </c>
      <c r="I418" s="3">
        <v>69</v>
      </c>
      <c r="J418" s="4">
        <v>0</v>
      </c>
      <c r="K418" s="5">
        <v>69</v>
      </c>
      <c r="L418" t="s">
        <v>18</v>
      </c>
      <c r="M418">
        <v>4</v>
      </c>
    </row>
    <row r="419" spans="1:13">
      <c r="A419" t="s">
        <v>229</v>
      </c>
      <c r="B419" s="1">
        <v>45760</v>
      </c>
      <c r="C419" t="s">
        <v>14</v>
      </c>
      <c r="D419" t="s">
        <v>15</v>
      </c>
      <c r="E419" t="s">
        <v>20</v>
      </c>
      <c r="F419" t="s">
        <v>21</v>
      </c>
      <c r="G419" t="s">
        <v>37</v>
      </c>
      <c r="H419">
        <v>1</v>
      </c>
      <c r="I419" s="3">
        <v>69</v>
      </c>
      <c r="J419" s="4">
        <v>0.05</v>
      </c>
      <c r="K419" s="5">
        <v>65.55</v>
      </c>
      <c r="L419" t="s">
        <v>38</v>
      </c>
      <c r="M419">
        <v>5</v>
      </c>
    </row>
    <row r="420" spans="1:13">
      <c r="A420" t="s">
        <v>516</v>
      </c>
      <c r="B420" s="1">
        <v>45940</v>
      </c>
      <c r="C420" t="s">
        <v>25</v>
      </c>
      <c r="D420" t="s">
        <v>15</v>
      </c>
      <c r="E420" t="s">
        <v>20</v>
      </c>
      <c r="F420" t="s">
        <v>21</v>
      </c>
      <c r="G420" t="s">
        <v>22</v>
      </c>
      <c r="H420">
        <v>1</v>
      </c>
      <c r="I420" s="3">
        <v>69</v>
      </c>
      <c r="J420" s="4">
        <v>0.05</v>
      </c>
      <c r="K420" s="5">
        <v>65.55</v>
      </c>
      <c r="L420" t="s">
        <v>23</v>
      </c>
      <c r="M420">
        <v>5</v>
      </c>
    </row>
    <row r="421" spans="1:13">
      <c r="A421" t="s">
        <v>423</v>
      </c>
      <c r="B421" s="1">
        <v>45892</v>
      </c>
      <c r="C421" t="s">
        <v>57</v>
      </c>
      <c r="D421" t="s">
        <v>15</v>
      </c>
      <c r="E421" t="s">
        <v>20</v>
      </c>
      <c r="F421" t="s">
        <v>21</v>
      </c>
      <c r="G421" t="s">
        <v>22</v>
      </c>
      <c r="H421">
        <v>1</v>
      </c>
      <c r="I421" s="3">
        <v>69</v>
      </c>
      <c r="J421" s="4">
        <v>0.05</v>
      </c>
      <c r="K421" s="5">
        <v>65.55</v>
      </c>
      <c r="L421" t="s">
        <v>18</v>
      </c>
      <c r="M421">
        <v>3</v>
      </c>
    </row>
    <row r="422" spans="1:13">
      <c r="A422" t="s">
        <v>107</v>
      </c>
      <c r="B422" s="1">
        <v>45691</v>
      </c>
      <c r="C422" t="s">
        <v>40</v>
      </c>
      <c r="D422" t="s">
        <v>41</v>
      </c>
      <c r="E422" t="s">
        <v>20</v>
      </c>
      <c r="F422" t="s">
        <v>21</v>
      </c>
      <c r="G422" t="s">
        <v>37</v>
      </c>
      <c r="H422">
        <v>1</v>
      </c>
      <c r="I422" s="3">
        <v>69</v>
      </c>
      <c r="J422" s="4">
        <v>0.1</v>
      </c>
      <c r="K422" s="5">
        <v>62.1</v>
      </c>
      <c r="L422" t="s">
        <v>38</v>
      </c>
      <c r="M422">
        <v>3</v>
      </c>
    </row>
    <row r="423" spans="1:13">
      <c r="A423" t="s">
        <v>281</v>
      </c>
      <c r="B423" s="1">
        <v>45794</v>
      </c>
      <c r="C423" t="s">
        <v>40</v>
      </c>
      <c r="D423" t="s">
        <v>41</v>
      </c>
      <c r="E423" t="s">
        <v>20</v>
      </c>
      <c r="F423" t="s">
        <v>21</v>
      </c>
      <c r="G423" t="s">
        <v>2</v>
      </c>
      <c r="H423">
        <v>1</v>
      </c>
      <c r="I423" s="3">
        <v>69</v>
      </c>
      <c r="J423" s="4">
        <v>0.1</v>
      </c>
      <c r="K423" s="5">
        <v>62.1</v>
      </c>
      <c r="L423" t="s">
        <v>18</v>
      </c>
      <c r="M423">
        <v>4</v>
      </c>
    </row>
    <row r="424" spans="1:13">
      <c r="A424" t="s">
        <v>553</v>
      </c>
      <c r="B424" s="1">
        <v>45964</v>
      </c>
      <c r="C424" t="s">
        <v>44</v>
      </c>
      <c r="D424" t="s">
        <v>45</v>
      </c>
      <c r="E424" t="s">
        <v>20</v>
      </c>
      <c r="F424" t="s">
        <v>21</v>
      </c>
      <c r="G424" t="s">
        <v>37</v>
      </c>
      <c r="H424">
        <v>1</v>
      </c>
      <c r="I424" s="3">
        <v>69</v>
      </c>
      <c r="J424" s="4">
        <v>0.1</v>
      </c>
      <c r="K424" s="5">
        <v>62.1</v>
      </c>
      <c r="L424" t="s">
        <v>23</v>
      </c>
      <c r="M424">
        <v>5</v>
      </c>
    </row>
    <row r="425" spans="1:13">
      <c r="A425" t="s">
        <v>593</v>
      </c>
      <c r="B425" s="1">
        <v>45985</v>
      </c>
      <c r="C425" t="s">
        <v>40</v>
      </c>
      <c r="D425" t="s">
        <v>41</v>
      </c>
      <c r="E425" t="s">
        <v>20</v>
      </c>
      <c r="F425" t="s">
        <v>21</v>
      </c>
      <c r="G425" t="s">
        <v>2</v>
      </c>
      <c r="H425">
        <v>1</v>
      </c>
      <c r="I425" s="3">
        <v>69</v>
      </c>
      <c r="J425" s="4">
        <v>0.1</v>
      </c>
      <c r="K425" s="5">
        <v>62.1</v>
      </c>
      <c r="L425" t="s">
        <v>18</v>
      </c>
      <c r="M425">
        <v>4</v>
      </c>
    </row>
    <row r="426" spans="1:13">
      <c r="A426" t="s">
        <v>92</v>
      </c>
      <c r="B426" s="1">
        <v>45684</v>
      </c>
      <c r="C426" t="s">
        <v>44</v>
      </c>
      <c r="D426" t="s">
        <v>45</v>
      </c>
      <c r="E426" t="s">
        <v>20</v>
      </c>
      <c r="F426" t="s">
        <v>55</v>
      </c>
      <c r="G426" t="s">
        <v>22</v>
      </c>
      <c r="H426">
        <v>2</v>
      </c>
      <c r="I426" s="3">
        <v>35</v>
      </c>
      <c r="J426" s="4">
        <v>0.15</v>
      </c>
      <c r="K426" s="5">
        <v>59.5</v>
      </c>
      <c r="L426" t="s">
        <v>51</v>
      </c>
      <c r="M426">
        <v>2</v>
      </c>
    </row>
    <row r="427" spans="1:13">
      <c r="A427" t="s">
        <v>186</v>
      </c>
      <c r="B427" s="1">
        <v>45727</v>
      </c>
      <c r="C427" t="s">
        <v>31</v>
      </c>
      <c r="D427" t="s">
        <v>15</v>
      </c>
      <c r="E427" t="s">
        <v>20</v>
      </c>
      <c r="F427" t="s">
        <v>42</v>
      </c>
      <c r="G427" t="s">
        <v>22</v>
      </c>
      <c r="H427">
        <v>1</v>
      </c>
      <c r="I427" s="3">
        <v>59</v>
      </c>
      <c r="J427" s="4">
        <v>0</v>
      </c>
      <c r="K427" s="5">
        <v>59</v>
      </c>
      <c r="L427" t="s">
        <v>18</v>
      </c>
      <c r="M427">
        <v>5</v>
      </c>
    </row>
    <row r="428" spans="1:13">
      <c r="A428" t="s">
        <v>195</v>
      </c>
      <c r="B428" s="1">
        <v>45733</v>
      </c>
      <c r="C428" t="s">
        <v>40</v>
      </c>
      <c r="D428" t="s">
        <v>41</v>
      </c>
      <c r="E428" t="s">
        <v>20</v>
      </c>
      <c r="F428" t="s">
        <v>42</v>
      </c>
      <c r="G428" t="s">
        <v>2</v>
      </c>
      <c r="H428">
        <v>1</v>
      </c>
      <c r="I428" s="3">
        <v>59</v>
      </c>
      <c r="J428" s="4">
        <v>0</v>
      </c>
      <c r="K428" s="5">
        <v>59</v>
      </c>
      <c r="L428" t="s">
        <v>38</v>
      </c>
      <c r="M428">
        <v>5</v>
      </c>
    </row>
    <row r="429" spans="1:13">
      <c r="A429" t="s">
        <v>202</v>
      </c>
      <c r="B429" s="1">
        <v>45741</v>
      </c>
      <c r="C429" t="s">
        <v>34</v>
      </c>
      <c r="D429" t="s">
        <v>35</v>
      </c>
      <c r="E429" t="s">
        <v>20</v>
      </c>
      <c r="F429" t="s">
        <v>42</v>
      </c>
      <c r="G429" t="s">
        <v>2</v>
      </c>
      <c r="H429">
        <v>1</v>
      </c>
      <c r="I429" s="3">
        <v>59</v>
      </c>
      <c r="J429" s="4">
        <v>0</v>
      </c>
      <c r="K429" s="5">
        <v>59</v>
      </c>
      <c r="L429" t="s">
        <v>18</v>
      </c>
      <c r="M429">
        <v>5</v>
      </c>
    </row>
    <row r="430" spans="1:13">
      <c r="A430" t="s">
        <v>325</v>
      </c>
      <c r="B430" s="1">
        <v>45817</v>
      </c>
      <c r="C430" t="s">
        <v>44</v>
      </c>
      <c r="D430" t="s">
        <v>45</v>
      </c>
      <c r="E430" t="s">
        <v>20</v>
      </c>
      <c r="F430" t="s">
        <v>42</v>
      </c>
      <c r="G430" t="s">
        <v>2</v>
      </c>
      <c r="H430">
        <v>1</v>
      </c>
      <c r="I430" s="3">
        <v>59</v>
      </c>
      <c r="J430" s="4">
        <v>0</v>
      </c>
      <c r="K430" s="5">
        <v>59</v>
      </c>
      <c r="L430" t="s">
        <v>51</v>
      </c>
      <c r="M430">
        <v>5</v>
      </c>
    </row>
    <row r="431" spans="1:13">
      <c r="A431" t="s">
        <v>265</v>
      </c>
      <c r="B431" s="1">
        <v>45782</v>
      </c>
      <c r="C431" t="s">
        <v>57</v>
      </c>
      <c r="D431" t="s">
        <v>15</v>
      </c>
      <c r="E431" t="s">
        <v>20</v>
      </c>
      <c r="F431" t="s">
        <v>42</v>
      </c>
      <c r="G431" t="s">
        <v>22</v>
      </c>
      <c r="H431">
        <v>1</v>
      </c>
      <c r="I431" s="3">
        <v>59</v>
      </c>
      <c r="J431" s="4">
        <v>0</v>
      </c>
      <c r="K431" s="5">
        <v>59</v>
      </c>
      <c r="L431" t="s">
        <v>23</v>
      </c>
      <c r="M431">
        <v>3</v>
      </c>
    </row>
    <row r="432" spans="1:13">
      <c r="A432" t="s">
        <v>446</v>
      </c>
      <c r="B432" s="1">
        <v>45906</v>
      </c>
      <c r="C432" t="s">
        <v>25</v>
      </c>
      <c r="D432" t="s">
        <v>15</v>
      </c>
      <c r="E432" t="s">
        <v>20</v>
      </c>
      <c r="F432" t="s">
        <v>42</v>
      </c>
      <c r="G432" t="s">
        <v>22</v>
      </c>
      <c r="H432">
        <v>1</v>
      </c>
      <c r="I432" s="3">
        <v>59</v>
      </c>
      <c r="J432" s="4">
        <v>0</v>
      </c>
      <c r="K432" s="5">
        <v>59</v>
      </c>
      <c r="L432" t="s">
        <v>23</v>
      </c>
    </row>
    <row r="433" spans="1:13">
      <c r="A433" t="s">
        <v>368</v>
      </c>
      <c r="B433" s="1">
        <v>45846</v>
      </c>
      <c r="C433" t="s">
        <v>34</v>
      </c>
      <c r="D433" t="s">
        <v>35</v>
      </c>
      <c r="E433" t="s">
        <v>20</v>
      </c>
      <c r="F433" t="s">
        <v>42</v>
      </c>
      <c r="G433" t="s">
        <v>2</v>
      </c>
      <c r="H433">
        <v>1</v>
      </c>
      <c r="I433" s="3">
        <v>59</v>
      </c>
      <c r="J433" s="4">
        <v>0</v>
      </c>
      <c r="K433" s="5">
        <v>59</v>
      </c>
      <c r="L433" t="s">
        <v>51</v>
      </c>
      <c r="M433">
        <v>5</v>
      </c>
    </row>
    <row r="434" spans="1:13">
      <c r="A434" t="s">
        <v>546</v>
      </c>
      <c r="B434" s="1">
        <v>45960</v>
      </c>
      <c r="C434" t="s">
        <v>34</v>
      </c>
      <c r="D434" t="s">
        <v>35</v>
      </c>
      <c r="E434" t="s">
        <v>20</v>
      </c>
      <c r="F434" t="s">
        <v>42</v>
      </c>
      <c r="G434" t="s">
        <v>2</v>
      </c>
      <c r="H434">
        <v>1</v>
      </c>
      <c r="I434" s="3">
        <v>59</v>
      </c>
      <c r="J434" s="4">
        <v>0</v>
      </c>
      <c r="K434" s="5">
        <v>59</v>
      </c>
      <c r="L434" t="s">
        <v>23</v>
      </c>
      <c r="M434">
        <v>4</v>
      </c>
    </row>
    <row r="435" spans="1:13">
      <c r="A435" t="s">
        <v>602</v>
      </c>
      <c r="B435" s="1">
        <v>45990</v>
      </c>
      <c r="C435" t="s">
        <v>54</v>
      </c>
      <c r="D435" t="s">
        <v>35</v>
      </c>
      <c r="E435" t="s">
        <v>20</v>
      </c>
      <c r="F435" t="s">
        <v>42</v>
      </c>
      <c r="G435" t="s">
        <v>2</v>
      </c>
      <c r="H435">
        <v>1</v>
      </c>
      <c r="I435" s="3">
        <v>59</v>
      </c>
      <c r="J435" s="4">
        <v>0</v>
      </c>
      <c r="K435" s="5">
        <v>59</v>
      </c>
      <c r="L435" t="s">
        <v>23</v>
      </c>
      <c r="M435">
        <v>4</v>
      </c>
    </row>
    <row r="436" spans="1:13">
      <c r="A436" t="s">
        <v>455</v>
      </c>
      <c r="B436" s="1">
        <v>45910</v>
      </c>
      <c r="C436" t="s">
        <v>44</v>
      </c>
      <c r="D436" t="s">
        <v>45</v>
      </c>
      <c r="E436" t="s">
        <v>20</v>
      </c>
      <c r="F436" t="s">
        <v>42</v>
      </c>
      <c r="G436" t="s">
        <v>2</v>
      </c>
      <c r="H436">
        <v>1</v>
      </c>
      <c r="I436" s="3">
        <v>59</v>
      </c>
      <c r="J436" s="4">
        <v>0</v>
      </c>
      <c r="K436" s="5">
        <v>59</v>
      </c>
      <c r="L436" t="s">
        <v>51</v>
      </c>
      <c r="M436">
        <v>1</v>
      </c>
    </row>
    <row r="437" spans="1:13">
      <c r="A437" t="s">
        <v>607</v>
      </c>
      <c r="B437" s="1">
        <v>45993</v>
      </c>
      <c r="C437" t="s">
        <v>57</v>
      </c>
      <c r="D437" t="s">
        <v>15</v>
      </c>
      <c r="E437" t="s">
        <v>20</v>
      </c>
      <c r="F437" t="s">
        <v>42</v>
      </c>
      <c r="G437" t="s">
        <v>22</v>
      </c>
      <c r="H437">
        <v>1</v>
      </c>
      <c r="I437" s="3">
        <v>59</v>
      </c>
      <c r="J437" s="4">
        <v>0</v>
      </c>
      <c r="K437" s="5">
        <v>59</v>
      </c>
      <c r="L437" t="s">
        <v>38</v>
      </c>
      <c r="M437">
        <v>5</v>
      </c>
    </row>
    <row r="438" spans="1:13">
      <c r="A438" t="s">
        <v>625</v>
      </c>
      <c r="B438" s="1">
        <v>46002</v>
      </c>
      <c r="C438" t="s">
        <v>14</v>
      </c>
      <c r="D438" t="s">
        <v>15</v>
      </c>
      <c r="E438" t="s">
        <v>20</v>
      </c>
      <c r="F438" t="s">
        <v>42</v>
      </c>
      <c r="G438" t="s">
        <v>2</v>
      </c>
      <c r="H438">
        <v>1</v>
      </c>
      <c r="I438" s="3">
        <v>59</v>
      </c>
      <c r="J438" s="4">
        <v>0</v>
      </c>
      <c r="K438" s="5">
        <v>59</v>
      </c>
      <c r="L438" t="s">
        <v>18</v>
      </c>
      <c r="M438">
        <v>4</v>
      </c>
    </row>
    <row r="439" spans="1:13">
      <c r="A439" t="s">
        <v>157</v>
      </c>
      <c r="B439" s="1">
        <v>45716</v>
      </c>
      <c r="C439" t="s">
        <v>54</v>
      </c>
      <c r="D439" t="s">
        <v>35</v>
      </c>
      <c r="E439" t="s">
        <v>20</v>
      </c>
      <c r="F439" t="s">
        <v>21</v>
      </c>
      <c r="G439" t="s">
        <v>22</v>
      </c>
      <c r="H439">
        <v>1</v>
      </c>
      <c r="I439" s="3">
        <v>69</v>
      </c>
      <c r="J439" s="4">
        <v>0.15</v>
      </c>
      <c r="K439" s="5">
        <v>58.65</v>
      </c>
      <c r="L439" t="s">
        <v>23</v>
      </c>
      <c r="M439">
        <v>4</v>
      </c>
    </row>
    <row r="440" spans="1:13">
      <c r="A440" t="s">
        <v>579</v>
      </c>
      <c r="B440" s="1">
        <v>45978</v>
      </c>
      <c r="C440" t="s">
        <v>54</v>
      </c>
      <c r="D440" t="s">
        <v>35</v>
      </c>
      <c r="E440" t="s">
        <v>20</v>
      </c>
      <c r="F440" t="s">
        <v>21</v>
      </c>
      <c r="G440" t="s">
        <v>2</v>
      </c>
      <c r="H440">
        <v>1</v>
      </c>
      <c r="I440" s="3">
        <v>69</v>
      </c>
      <c r="J440" s="4">
        <v>0.15</v>
      </c>
      <c r="K440" s="5">
        <v>58.65</v>
      </c>
      <c r="L440" t="s">
        <v>23</v>
      </c>
      <c r="M440">
        <v>5</v>
      </c>
    </row>
    <row r="441" spans="1:13">
      <c r="A441" t="s">
        <v>635</v>
      </c>
      <c r="B441" s="1">
        <v>46009</v>
      </c>
      <c r="C441" t="s">
        <v>40</v>
      </c>
      <c r="D441" t="s">
        <v>41</v>
      </c>
      <c r="E441" t="s">
        <v>20</v>
      </c>
      <c r="F441" t="s">
        <v>21</v>
      </c>
      <c r="G441" t="s">
        <v>22</v>
      </c>
      <c r="H441">
        <v>1</v>
      </c>
      <c r="I441" s="3">
        <v>69</v>
      </c>
      <c r="J441" s="4">
        <v>0.15</v>
      </c>
      <c r="K441" s="5">
        <v>58.65</v>
      </c>
      <c r="L441" t="s">
        <v>23</v>
      </c>
      <c r="M441">
        <v>4</v>
      </c>
    </row>
    <row r="442" spans="1:13">
      <c r="A442" t="s">
        <v>414</v>
      </c>
      <c r="B442" s="1">
        <v>45886</v>
      </c>
      <c r="C442" t="s">
        <v>14</v>
      </c>
      <c r="D442" t="s">
        <v>15</v>
      </c>
      <c r="E442" t="s">
        <v>20</v>
      </c>
      <c r="F442" t="s">
        <v>21</v>
      </c>
      <c r="G442" t="s">
        <v>2</v>
      </c>
      <c r="H442">
        <v>1</v>
      </c>
      <c r="I442" s="3">
        <v>69</v>
      </c>
      <c r="J442" s="4">
        <v>0.15</v>
      </c>
      <c r="K442" s="5">
        <v>58.65</v>
      </c>
      <c r="L442" t="s">
        <v>18</v>
      </c>
      <c r="M442">
        <v>3</v>
      </c>
    </row>
    <row r="443" spans="1:13">
      <c r="A443" t="s">
        <v>43</v>
      </c>
      <c r="B443" s="1">
        <v>45662</v>
      </c>
      <c r="C443" t="s">
        <v>44</v>
      </c>
      <c r="D443" t="s">
        <v>45</v>
      </c>
      <c r="E443" t="s">
        <v>16</v>
      </c>
      <c r="F443" t="s">
        <v>46</v>
      </c>
      <c r="G443" t="s">
        <v>2</v>
      </c>
      <c r="H443">
        <v>2</v>
      </c>
      <c r="I443" s="3">
        <v>29</v>
      </c>
      <c r="J443" s="4">
        <v>0</v>
      </c>
      <c r="K443" s="5">
        <v>58</v>
      </c>
      <c r="L443" t="s">
        <v>23</v>
      </c>
      <c r="M443">
        <v>5</v>
      </c>
    </row>
    <row r="444" spans="1:13">
      <c r="A444" t="s">
        <v>318</v>
      </c>
      <c r="B444" s="1">
        <v>45815</v>
      </c>
      <c r="C444" t="s">
        <v>54</v>
      </c>
      <c r="D444" t="s">
        <v>35</v>
      </c>
      <c r="E444" t="s">
        <v>16</v>
      </c>
      <c r="F444" t="s">
        <v>46</v>
      </c>
      <c r="G444" t="s">
        <v>2</v>
      </c>
      <c r="H444">
        <v>2</v>
      </c>
      <c r="I444" s="3">
        <v>29</v>
      </c>
      <c r="J444" s="4">
        <v>0</v>
      </c>
      <c r="K444" s="5">
        <v>58</v>
      </c>
      <c r="L444" t="s">
        <v>23</v>
      </c>
      <c r="M444">
        <v>1</v>
      </c>
    </row>
    <row r="445" spans="1:13">
      <c r="A445" t="s">
        <v>360</v>
      </c>
      <c r="B445" s="1">
        <v>45842</v>
      </c>
      <c r="C445" t="s">
        <v>57</v>
      </c>
      <c r="D445" t="s">
        <v>15</v>
      </c>
      <c r="E445" t="s">
        <v>20</v>
      </c>
      <c r="F445" t="s">
        <v>42</v>
      </c>
      <c r="G445" t="s">
        <v>22</v>
      </c>
      <c r="H445">
        <v>1</v>
      </c>
      <c r="I445" s="3">
        <v>59</v>
      </c>
      <c r="J445" s="4">
        <v>0.05</v>
      </c>
      <c r="K445" s="5">
        <v>56.05</v>
      </c>
      <c r="L445" t="s">
        <v>51</v>
      </c>
      <c r="M445">
        <v>1</v>
      </c>
    </row>
    <row r="446" spans="1:13">
      <c r="A446" t="s">
        <v>39</v>
      </c>
      <c r="B446" s="1">
        <v>45662</v>
      </c>
      <c r="C446" t="s">
        <v>40</v>
      </c>
      <c r="D446" t="s">
        <v>41</v>
      </c>
      <c r="E446" t="s">
        <v>20</v>
      </c>
      <c r="F446" t="s">
        <v>42</v>
      </c>
      <c r="G446" t="s">
        <v>22</v>
      </c>
      <c r="H446">
        <v>1</v>
      </c>
      <c r="I446" s="3">
        <v>59</v>
      </c>
      <c r="J446" s="4">
        <v>0.05</v>
      </c>
      <c r="K446" s="5">
        <v>56.05</v>
      </c>
      <c r="L446" t="s">
        <v>23</v>
      </c>
      <c r="M446">
        <v>5</v>
      </c>
    </row>
    <row r="447" spans="1:13">
      <c r="A447" t="s">
        <v>319</v>
      </c>
      <c r="B447" s="1">
        <v>45816</v>
      </c>
      <c r="C447" t="s">
        <v>31</v>
      </c>
      <c r="D447" t="s">
        <v>15</v>
      </c>
      <c r="E447" t="s">
        <v>20</v>
      </c>
      <c r="F447" t="s">
        <v>42</v>
      </c>
      <c r="G447" t="s">
        <v>22</v>
      </c>
      <c r="H447">
        <v>1</v>
      </c>
      <c r="I447" s="3">
        <v>59</v>
      </c>
      <c r="J447" s="4">
        <v>0.05</v>
      </c>
      <c r="K447" s="5">
        <v>56.05</v>
      </c>
      <c r="L447" t="s">
        <v>23</v>
      </c>
    </row>
    <row r="448" spans="1:13">
      <c r="A448" t="s">
        <v>385</v>
      </c>
      <c r="B448" s="1">
        <v>45858</v>
      </c>
      <c r="C448" t="s">
        <v>14</v>
      </c>
      <c r="D448" t="s">
        <v>15</v>
      </c>
      <c r="E448" t="s">
        <v>20</v>
      </c>
      <c r="F448" t="s">
        <v>42</v>
      </c>
      <c r="G448" t="s">
        <v>2</v>
      </c>
      <c r="H448">
        <v>1</v>
      </c>
      <c r="I448" s="3">
        <v>59</v>
      </c>
      <c r="J448" s="4">
        <v>0.05</v>
      </c>
      <c r="K448" s="5">
        <v>56.05</v>
      </c>
      <c r="L448" t="s">
        <v>23</v>
      </c>
      <c r="M448">
        <v>2</v>
      </c>
    </row>
    <row r="449" spans="1:13">
      <c r="A449" t="s">
        <v>364</v>
      </c>
      <c r="B449" s="1">
        <v>45845</v>
      </c>
      <c r="C449" t="s">
        <v>40</v>
      </c>
      <c r="D449" t="s">
        <v>41</v>
      </c>
      <c r="E449" t="s">
        <v>20</v>
      </c>
      <c r="F449" t="s">
        <v>55</v>
      </c>
      <c r="G449" t="s">
        <v>37</v>
      </c>
      <c r="H449">
        <v>2</v>
      </c>
      <c r="I449" s="3">
        <v>35</v>
      </c>
      <c r="J449" s="4">
        <v>0.2</v>
      </c>
      <c r="K449" s="5">
        <v>56</v>
      </c>
      <c r="L449" t="s">
        <v>51</v>
      </c>
      <c r="M449">
        <v>5</v>
      </c>
    </row>
    <row r="450" spans="1:13">
      <c r="A450" t="s">
        <v>417</v>
      </c>
      <c r="B450" s="1">
        <v>45887</v>
      </c>
      <c r="C450" t="s">
        <v>31</v>
      </c>
      <c r="D450" t="s">
        <v>15</v>
      </c>
      <c r="E450" t="s">
        <v>20</v>
      </c>
      <c r="F450" t="s">
        <v>21</v>
      </c>
      <c r="G450" t="s">
        <v>2</v>
      </c>
      <c r="H450">
        <v>1</v>
      </c>
      <c r="I450" s="3">
        <v>69</v>
      </c>
      <c r="J450" s="4">
        <v>0.2</v>
      </c>
      <c r="K450" s="5">
        <v>55.2</v>
      </c>
      <c r="L450" t="s">
        <v>23</v>
      </c>
    </row>
    <row r="451" spans="1:13">
      <c r="A451" t="s">
        <v>474</v>
      </c>
      <c r="B451" s="1">
        <v>45922</v>
      </c>
      <c r="C451" t="s">
        <v>54</v>
      </c>
      <c r="D451" t="s">
        <v>35</v>
      </c>
      <c r="E451" t="s">
        <v>20</v>
      </c>
      <c r="F451" t="s">
        <v>21</v>
      </c>
      <c r="G451" t="s">
        <v>2</v>
      </c>
      <c r="H451">
        <v>1</v>
      </c>
      <c r="I451" s="3">
        <v>69</v>
      </c>
      <c r="J451" s="4">
        <v>0.2</v>
      </c>
      <c r="K451" s="5">
        <v>55.2</v>
      </c>
      <c r="L451" t="s">
        <v>38</v>
      </c>
      <c r="M451">
        <v>4</v>
      </c>
    </row>
    <row r="452" spans="1:13">
      <c r="A452" t="s">
        <v>531</v>
      </c>
      <c r="B452" s="1">
        <v>45949</v>
      </c>
      <c r="C452" t="s">
        <v>31</v>
      </c>
      <c r="D452" t="s">
        <v>15</v>
      </c>
      <c r="E452" t="s">
        <v>16</v>
      </c>
      <c r="F452" t="s">
        <v>46</v>
      </c>
      <c r="G452" t="s">
        <v>2</v>
      </c>
      <c r="H452">
        <v>2</v>
      </c>
      <c r="I452" s="3">
        <v>29</v>
      </c>
      <c r="J452" s="4">
        <v>0.05</v>
      </c>
      <c r="K452" s="5">
        <v>55.1</v>
      </c>
      <c r="L452" t="s">
        <v>51</v>
      </c>
      <c r="M452">
        <v>5</v>
      </c>
    </row>
    <row r="453" spans="1:13">
      <c r="A453" t="s">
        <v>50</v>
      </c>
      <c r="B453" s="1">
        <v>45663</v>
      </c>
      <c r="C453" t="s">
        <v>34</v>
      </c>
      <c r="D453" t="s">
        <v>35</v>
      </c>
      <c r="E453" t="s">
        <v>20</v>
      </c>
      <c r="F453" t="s">
        <v>42</v>
      </c>
      <c r="G453" t="s">
        <v>22</v>
      </c>
      <c r="H453">
        <v>1</v>
      </c>
      <c r="I453" s="3">
        <v>59</v>
      </c>
      <c r="J453" s="4">
        <v>0.1</v>
      </c>
      <c r="K453" s="5">
        <v>53.1</v>
      </c>
      <c r="L453" t="s">
        <v>51</v>
      </c>
    </row>
    <row r="454" spans="1:13">
      <c r="A454" t="s">
        <v>226</v>
      </c>
      <c r="B454" s="1">
        <v>45759</v>
      </c>
      <c r="C454" t="s">
        <v>57</v>
      </c>
      <c r="D454" t="s">
        <v>15</v>
      </c>
      <c r="E454" t="s">
        <v>20</v>
      </c>
      <c r="F454" t="s">
        <v>42</v>
      </c>
      <c r="G454" t="s">
        <v>37</v>
      </c>
      <c r="H454">
        <v>1</v>
      </c>
      <c r="I454" s="3">
        <v>59</v>
      </c>
      <c r="J454" s="4">
        <v>0.1</v>
      </c>
      <c r="K454" s="5">
        <v>53.1</v>
      </c>
      <c r="L454" t="s">
        <v>51</v>
      </c>
      <c r="M454">
        <v>4</v>
      </c>
    </row>
    <row r="455" spans="1:13">
      <c r="A455" t="s">
        <v>375</v>
      </c>
      <c r="B455" s="1">
        <v>45853</v>
      </c>
      <c r="C455" t="s">
        <v>34</v>
      </c>
      <c r="D455" t="s">
        <v>35</v>
      </c>
      <c r="E455" t="s">
        <v>20</v>
      </c>
      <c r="F455" t="s">
        <v>42</v>
      </c>
      <c r="G455" t="s">
        <v>2</v>
      </c>
      <c r="H455">
        <v>1</v>
      </c>
      <c r="I455" s="3">
        <v>59</v>
      </c>
      <c r="J455" s="4">
        <v>0.1</v>
      </c>
      <c r="K455" s="5">
        <v>53.1</v>
      </c>
      <c r="L455" t="s">
        <v>18</v>
      </c>
      <c r="M455">
        <v>4</v>
      </c>
    </row>
    <row r="456" spans="1:13">
      <c r="A456" t="s">
        <v>350</v>
      </c>
      <c r="B456" s="1">
        <v>45833</v>
      </c>
      <c r="C456" t="s">
        <v>44</v>
      </c>
      <c r="D456" t="s">
        <v>45</v>
      </c>
      <c r="E456" t="s">
        <v>20</v>
      </c>
      <c r="F456" t="s">
        <v>42</v>
      </c>
      <c r="G456" t="s">
        <v>2</v>
      </c>
      <c r="H456">
        <v>1</v>
      </c>
      <c r="I456" s="3">
        <v>59</v>
      </c>
      <c r="J456" s="4">
        <v>0.1</v>
      </c>
      <c r="K456" s="5">
        <v>53.1</v>
      </c>
      <c r="L456" t="s">
        <v>23</v>
      </c>
      <c r="M456">
        <v>5</v>
      </c>
    </row>
    <row r="457" spans="1:13">
      <c r="A457" t="s">
        <v>600</v>
      </c>
      <c r="B457" s="1">
        <v>45988</v>
      </c>
      <c r="C457" t="s">
        <v>40</v>
      </c>
      <c r="D457" t="s">
        <v>41</v>
      </c>
      <c r="E457" t="s">
        <v>20</v>
      </c>
      <c r="F457" t="s">
        <v>42</v>
      </c>
      <c r="G457" t="s">
        <v>2</v>
      </c>
      <c r="H457">
        <v>1</v>
      </c>
      <c r="I457" s="3">
        <v>59</v>
      </c>
      <c r="J457" s="4">
        <v>0.1</v>
      </c>
      <c r="K457" s="5">
        <v>53.1</v>
      </c>
      <c r="L457" t="s">
        <v>38</v>
      </c>
      <c r="M457">
        <v>4</v>
      </c>
    </row>
    <row r="458" spans="1:13">
      <c r="A458" t="s">
        <v>332</v>
      </c>
      <c r="B458" s="1">
        <v>45823</v>
      </c>
      <c r="C458" t="s">
        <v>31</v>
      </c>
      <c r="D458" t="s">
        <v>15</v>
      </c>
      <c r="E458" t="s">
        <v>20</v>
      </c>
      <c r="F458" t="s">
        <v>42</v>
      </c>
      <c r="G458" t="s">
        <v>37</v>
      </c>
      <c r="H458">
        <v>1</v>
      </c>
      <c r="I458" s="3">
        <v>59</v>
      </c>
      <c r="J458" s="4">
        <v>0.15</v>
      </c>
      <c r="K458" s="5">
        <v>50.15</v>
      </c>
      <c r="L458" t="s">
        <v>51</v>
      </c>
      <c r="M458">
        <v>4</v>
      </c>
    </row>
    <row r="459" spans="1:13">
      <c r="A459" t="s">
        <v>418</v>
      </c>
      <c r="B459" s="1">
        <v>45887</v>
      </c>
      <c r="C459" t="s">
        <v>44</v>
      </c>
      <c r="D459" t="s">
        <v>45</v>
      </c>
      <c r="E459" t="s">
        <v>20</v>
      </c>
      <c r="F459" t="s">
        <v>42</v>
      </c>
      <c r="G459" t="s">
        <v>2</v>
      </c>
      <c r="H459">
        <v>1</v>
      </c>
      <c r="I459" s="3">
        <v>59</v>
      </c>
      <c r="J459" s="4">
        <v>0.15</v>
      </c>
      <c r="K459" s="5">
        <v>50.15</v>
      </c>
      <c r="L459" t="s">
        <v>18</v>
      </c>
      <c r="M459">
        <v>4</v>
      </c>
    </row>
    <row r="460" spans="1:13">
      <c r="A460" t="s">
        <v>108</v>
      </c>
      <c r="B460" s="1">
        <v>45692</v>
      </c>
      <c r="C460" t="s">
        <v>40</v>
      </c>
      <c r="D460" t="s">
        <v>41</v>
      </c>
      <c r="E460" t="s">
        <v>20</v>
      </c>
      <c r="F460" t="s">
        <v>42</v>
      </c>
      <c r="G460" t="s">
        <v>22</v>
      </c>
      <c r="H460">
        <v>1</v>
      </c>
      <c r="I460" s="3">
        <v>59</v>
      </c>
      <c r="J460" s="4">
        <v>0.15</v>
      </c>
      <c r="K460" s="5">
        <v>50.15</v>
      </c>
      <c r="L460" t="s">
        <v>23</v>
      </c>
      <c r="M460">
        <v>4</v>
      </c>
    </row>
    <row r="461" spans="1:13">
      <c r="A461" t="s">
        <v>438</v>
      </c>
      <c r="B461" s="1">
        <v>45902</v>
      </c>
      <c r="C461" t="s">
        <v>34</v>
      </c>
      <c r="D461" t="s">
        <v>35</v>
      </c>
      <c r="E461" t="s">
        <v>20</v>
      </c>
      <c r="F461" t="s">
        <v>42</v>
      </c>
      <c r="G461" t="s">
        <v>2</v>
      </c>
      <c r="H461">
        <v>1</v>
      </c>
      <c r="I461" s="3">
        <v>59</v>
      </c>
      <c r="J461" s="4">
        <v>0.15</v>
      </c>
      <c r="K461" s="5">
        <v>50.15</v>
      </c>
      <c r="L461" t="s">
        <v>23</v>
      </c>
      <c r="M461">
        <v>2</v>
      </c>
    </row>
    <row r="462" spans="1:13">
      <c r="A462" t="s">
        <v>492</v>
      </c>
      <c r="B462" s="1">
        <v>45929</v>
      </c>
      <c r="C462" t="s">
        <v>25</v>
      </c>
      <c r="D462" t="s">
        <v>15</v>
      </c>
      <c r="E462" t="s">
        <v>20</v>
      </c>
      <c r="F462" t="s">
        <v>42</v>
      </c>
      <c r="G462" t="s">
        <v>22</v>
      </c>
      <c r="H462">
        <v>1</v>
      </c>
      <c r="I462" s="3">
        <v>59</v>
      </c>
      <c r="J462" s="4">
        <v>0.15</v>
      </c>
      <c r="K462" s="5">
        <v>50.15</v>
      </c>
      <c r="L462" t="s">
        <v>23</v>
      </c>
      <c r="M462">
        <v>5</v>
      </c>
    </row>
    <row r="463" spans="1:13">
      <c r="A463" t="s">
        <v>580</v>
      </c>
      <c r="B463" s="1">
        <v>45979</v>
      </c>
      <c r="C463" t="s">
        <v>31</v>
      </c>
      <c r="D463" t="s">
        <v>15</v>
      </c>
      <c r="E463" t="s">
        <v>20</v>
      </c>
      <c r="F463" t="s">
        <v>42</v>
      </c>
      <c r="G463" t="s">
        <v>2</v>
      </c>
      <c r="H463">
        <v>1</v>
      </c>
      <c r="I463" s="3">
        <v>59</v>
      </c>
      <c r="J463" s="4">
        <v>0.15</v>
      </c>
      <c r="K463" s="5">
        <v>50.15</v>
      </c>
      <c r="L463" t="s">
        <v>38</v>
      </c>
      <c r="M463">
        <v>4</v>
      </c>
    </row>
    <row r="464" spans="1:13">
      <c r="A464" t="s">
        <v>297</v>
      </c>
      <c r="B464" s="1">
        <v>45805</v>
      </c>
      <c r="C464" t="s">
        <v>44</v>
      </c>
      <c r="D464" t="s">
        <v>45</v>
      </c>
      <c r="E464" t="s">
        <v>16</v>
      </c>
      <c r="F464" t="s">
        <v>46</v>
      </c>
      <c r="G464" t="s">
        <v>2</v>
      </c>
      <c r="H464">
        <v>2</v>
      </c>
      <c r="I464" s="3">
        <v>29</v>
      </c>
      <c r="J464" s="4">
        <v>0.15</v>
      </c>
      <c r="K464" s="5">
        <v>49.3</v>
      </c>
      <c r="L464" t="s">
        <v>51</v>
      </c>
      <c r="M464">
        <v>4</v>
      </c>
    </row>
    <row r="465" spans="1:13">
      <c r="A465" t="s">
        <v>52</v>
      </c>
      <c r="B465" s="1">
        <v>45666</v>
      </c>
      <c r="C465" t="s">
        <v>34</v>
      </c>
      <c r="D465" t="s">
        <v>35</v>
      </c>
      <c r="E465" t="s">
        <v>20</v>
      </c>
      <c r="F465" t="s">
        <v>42</v>
      </c>
      <c r="G465" t="s">
        <v>2</v>
      </c>
      <c r="H465">
        <v>1</v>
      </c>
      <c r="I465" s="3">
        <v>59</v>
      </c>
      <c r="J465" s="4">
        <v>0.2</v>
      </c>
      <c r="K465" s="5">
        <v>47.2</v>
      </c>
      <c r="L465" t="s">
        <v>23</v>
      </c>
      <c r="M465">
        <v>3</v>
      </c>
    </row>
    <row r="466" spans="1:13">
      <c r="A466" t="s">
        <v>206</v>
      </c>
      <c r="B466" s="1">
        <v>45743</v>
      </c>
      <c r="C466" t="s">
        <v>40</v>
      </c>
      <c r="D466" t="s">
        <v>41</v>
      </c>
      <c r="E466" t="s">
        <v>20</v>
      </c>
      <c r="F466" t="s">
        <v>42</v>
      </c>
      <c r="G466" t="s">
        <v>22</v>
      </c>
      <c r="H466">
        <v>1</v>
      </c>
      <c r="I466" s="3">
        <v>59</v>
      </c>
      <c r="J466" s="4">
        <v>0.2</v>
      </c>
      <c r="K466" s="5">
        <v>47.2</v>
      </c>
      <c r="L466" t="s">
        <v>23</v>
      </c>
      <c r="M466">
        <v>5</v>
      </c>
    </row>
    <row r="467" spans="1:13">
      <c r="A467" t="s">
        <v>303</v>
      </c>
      <c r="B467" s="1">
        <v>45809</v>
      </c>
      <c r="C467" t="s">
        <v>44</v>
      </c>
      <c r="D467" t="s">
        <v>45</v>
      </c>
      <c r="E467" t="s">
        <v>20</v>
      </c>
      <c r="F467" t="s">
        <v>42</v>
      </c>
      <c r="G467" t="s">
        <v>2</v>
      </c>
      <c r="H467">
        <v>1</v>
      </c>
      <c r="I467" s="3">
        <v>59</v>
      </c>
      <c r="J467" s="4">
        <v>0.2</v>
      </c>
      <c r="K467" s="5">
        <v>47.2</v>
      </c>
      <c r="L467" t="s">
        <v>23</v>
      </c>
      <c r="M467">
        <v>5</v>
      </c>
    </row>
    <row r="468" spans="1:13">
      <c r="A468" t="s">
        <v>653</v>
      </c>
      <c r="B468" s="1">
        <v>46020</v>
      </c>
      <c r="C468" t="s">
        <v>31</v>
      </c>
      <c r="D468" t="s">
        <v>15</v>
      </c>
      <c r="E468" t="s">
        <v>20</v>
      </c>
      <c r="F468" t="s">
        <v>42</v>
      </c>
      <c r="G468" t="s">
        <v>22</v>
      </c>
      <c r="H468">
        <v>1</v>
      </c>
      <c r="I468" s="3">
        <v>59</v>
      </c>
      <c r="J468" s="4">
        <v>0.2</v>
      </c>
      <c r="K468" s="5">
        <v>47.2</v>
      </c>
      <c r="L468" t="s">
        <v>23</v>
      </c>
    </row>
    <row r="469" spans="1:13">
      <c r="A469" t="s">
        <v>582</v>
      </c>
      <c r="B469" s="1">
        <v>45980</v>
      </c>
      <c r="C469" t="s">
        <v>31</v>
      </c>
      <c r="D469" t="s">
        <v>15</v>
      </c>
      <c r="E469" t="s">
        <v>20</v>
      </c>
      <c r="F469" t="s">
        <v>42</v>
      </c>
      <c r="G469" t="s">
        <v>22</v>
      </c>
      <c r="H469">
        <v>1</v>
      </c>
      <c r="I469" s="3">
        <v>59</v>
      </c>
      <c r="J469" s="4">
        <v>0.2</v>
      </c>
      <c r="K469" s="5">
        <v>47.2</v>
      </c>
      <c r="L469" t="s">
        <v>51</v>
      </c>
      <c r="M469">
        <v>4</v>
      </c>
    </row>
    <row r="470" spans="1:13">
      <c r="A470" t="s">
        <v>123</v>
      </c>
      <c r="B470" s="1">
        <v>45699</v>
      </c>
      <c r="C470" t="s">
        <v>57</v>
      </c>
      <c r="D470" t="s">
        <v>15</v>
      </c>
      <c r="E470" t="s">
        <v>20</v>
      </c>
      <c r="F470" t="s">
        <v>75</v>
      </c>
      <c r="G470" t="s">
        <v>2</v>
      </c>
      <c r="H470">
        <v>1</v>
      </c>
      <c r="I470" s="3">
        <v>45</v>
      </c>
      <c r="J470" s="4">
        <v>0</v>
      </c>
      <c r="K470" s="5">
        <v>45</v>
      </c>
      <c r="L470" t="s">
        <v>38</v>
      </c>
      <c r="M470">
        <v>2</v>
      </c>
    </row>
    <row r="471" spans="1:13">
      <c r="A471" t="s">
        <v>268</v>
      </c>
      <c r="B471" s="1">
        <v>45784</v>
      </c>
      <c r="C471" t="s">
        <v>34</v>
      </c>
      <c r="D471" t="s">
        <v>35</v>
      </c>
      <c r="E471" t="s">
        <v>20</v>
      </c>
      <c r="F471" t="s">
        <v>75</v>
      </c>
      <c r="G471" t="s">
        <v>22</v>
      </c>
      <c r="H471">
        <v>1</v>
      </c>
      <c r="I471" s="3">
        <v>45</v>
      </c>
      <c r="J471" s="4">
        <v>0</v>
      </c>
      <c r="K471" s="5">
        <v>45</v>
      </c>
      <c r="L471" t="s">
        <v>18</v>
      </c>
      <c r="M471">
        <v>3</v>
      </c>
    </row>
    <row r="472" spans="1:13">
      <c r="A472" t="s">
        <v>393</v>
      </c>
      <c r="B472" s="1">
        <v>45867</v>
      </c>
      <c r="C472" t="s">
        <v>54</v>
      </c>
      <c r="D472" t="s">
        <v>35</v>
      </c>
      <c r="E472" t="s">
        <v>20</v>
      </c>
      <c r="F472" t="s">
        <v>75</v>
      </c>
      <c r="G472" t="s">
        <v>22</v>
      </c>
      <c r="H472">
        <v>1</v>
      </c>
      <c r="I472" s="3">
        <v>45</v>
      </c>
      <c r="J472" s="4">
        <v>0</v>
      </c>
      <c r="K472" s="5">
        <v>45</v>
      </c>
      <c r="L472" t="s">
        <v>51</v>
      </c>
      <c r="M472">
        <v>5</v>
      </c>
    </row>
    <row r="473" spans="1:13">
      <c r="A473" t="s">
        <v>74</v>
      </c>
      <c r="B473" s="1">
        <v>45674</v>
      </c>
      <c r="C473" t="s">
        <v>57</v>
      </c>
      <c r="D473" t="s">
        <v>15</v>
      </c>
      <c r="E473" t="s">
        <v>20</v>
      </c>
      <c r="F473" t="s">
        <v>75</v>
      </c>
      <c r="G473" t="s">
        <v>22</v>
      </c>
      <c r="H473">
        <v>1</v>
      </c>
      <c r="I473" s="3">
        <v>45</v>
      </c>
      <c r="J473" s="4">
        <v>0</v>
      </c>
      <c r="K473" s="5">
        <v>45</v>
      </c>
      <c r="L473" t="s">
        <v>23</v>
      </c>
      <c r="M473">
        <v>4</v>
      </c>
    </row>
    <row r="474" spans="1:13">
      <c r="A474" t="s">
        <v>164</v>
      </c>
      <c r="B474" s="1">
        <v>45718</v>
      </c>
      <c r="C474" t="s">
        <v>31</v>
      </c>
      <c r="D474" t="s">
        <v>15</v>
      </c>
      <c r="E474" t="s">
        <v>20</v>
      </c>
      <c r="F474" t="s">
        <v>75</v>
      </c>
      <c r="G474" t="s">
        <v>37</v>
      </c>
      <c r="H474">
        <v>1</v>
      </c>
      <c r="I474" s="3">
        <v>45</v>
      </c>
      <c r="J474" s="4">
        <v>0</v>
      </c>
      <c r="K474" s="5">
        <v>45</v>
      </c>
      <c r="L474" t="s">
        <v>23</v>
      </c>
      <c r="M474">
        <v>2</v>
      </c>
    </row>
    <row r="475" spans="1:13">
      <c r="A475" t="s">
        <v>260</v>
      </c>
      <c r="B475" s="1">
        <v>45780</v>
      </c>
      <c r="C475" t="s">
        <v>34</v>
      </c>
      <c r="D475" t="s">
        <v>35</v>
      </c>
      <c r="E475" t="s">
        <v>20</v>
      </c>
      <c r="F475" t="s">
        <v>75</v>
      </c>
      <c r="G475" t="s">
        <v>2</v>
      </c>
      <c r="H475">
        <v>1</v>
      </c>
      <c r="I475" s="3">
        <v>45</v>
      </c>
      <c r="J475" s="4">
        <v>0</v>
      </c>
      <c r="K475" s="5">
        <v>45</v>
      </c>
      <c r="L475" t="s">
        <v>23</v>
      </c>
      <c r="M475">
        <v>5</v>
      </c>
    </row>
    <row r="476" spans="1:13">
      <c r="A476" t="s">
        <v>308</v>
      </c>
      <c r="B476" s="1">
        <v>45811</v>
      </c>
      <c r="C476" t="s">
        <v>34</v>
      </c>
      <c r="D476" t="s">
        <v>35</v>
      </c>
      <c r="E476" t="s">
        <v>20</v>
      </c>
      <c r="F476" t="s">
        <v>75</v>
      </c>
      <c r="G476" t="s">
        <v>2</v>
      </c>
      <c r="H476">
        <v>1</v>
      </c>
      <c r="I476" s="3">
        <v>45</v>
      </c>
      <c r="J476" s="4">
        <v>0</v>
      </c>
      <c r="K476" s="5">
        <v>45</v>
      </c>
      <c r="L476" t="s">
        <v>23</v>
      </c>
      <c r="M476">
        <v>5</v>
      </c>
    </row>
    <row r="477" spans="1:13">
      <c r="A477" t="s">
        <v>354</v>
      </c>
      <c r="B477" s="1">
        <v>45838</v>
      </c>
      <c r="C477" t="s">
        <v>31</v>
      </c>
      <c r="D477" t="s">
        <v>15</v>
      </c>
      <c r="E477" t="s">
        <v>20</v>
      </c>
      <c r="F477" t="s">
        <v>75</v>
      </c>
      <c r="G477" t="s">
        <v>22</v>
      </c>
      <c r="H477">
        <v>1</v>
      </c>
      <c r="I477" s="3">
        <v>45</v>
      </c>
      <c r="J477" s="4">
        <v>0</v>
      </c>
      <c r="K477" s="5">
        <v>45</v>
      </c>
      <c r="L477" t="s">
        <v>23</v>
      </c>
      <c r="M477">
        <v>4</v>
      </c>
    </row>
    <row r="478" spans="1:13">
      <c r="A478" t="s">
        <v>431</v>
      </c>
      <c r="B478" s="1">
        <v>45898</v>
      </c>
      <c r="C478" t="s">
        <v>57</v>
      </c>
      <c r="D478" t="s">
        <v>15</v>
      </c>
      <c r="E478" t="s">
        <v>20</v>
      </c>
      <c r="F478" t="s">
        <v>75</v>
      </c>
      <c r="G478" t="s">
        <v>37</v>
      </c>
      <c r="H478">
        <v>1</v>
      </c>
      <c r="I478" s="3">
        <v>45</v>
      </c>
      <c r="J478" s="4">
        <v>0</v>
      </c>
      <c r="K478" s="5">
        <v>45</v>
      </c>
      <c r="L478" t="s">
        <v>23</v>
      </c>
      <c r="M478">
        <v>3</v>
      </c>
    </row>
    <row r="479" spans="1:13">
      <c r="A479" t="s">
        <v>440</v>
      </c>
      <c r="B479" s="1">
        <v>45903</v>
      </c>
      <c r="C479" t="s">
        <v>54</v>
      </c>
      <c r="D479" t="s">
        <v>35</v>
      </c>
      <c r="E479" t="s">
        <v>20</v>
      </c>
      <c r="F479" t="s">
        <v>75</v>
      </c>
      <c r="G479" t="s">
        <v>2</v>
      </c>
      <c r="H479">
        <v>1</v>
      </c>
      <c r="I479" s="3">
        <v>45</v>
      </c>
      <c r="J479" s="4">
        <v>0</v>
      </c>
      <c r="K479" s="5">
        <v>45</v>
      </c>
      <c r="L479" t="s">
        <v>23</v>
      </c>
      <c r="M479">
        <v>4</v>
      </c>
    </row>
    <row r="480" spans="1:13">
      <c r="A480" t="s">
        <v>504</v>
      </c>
      <c r="B480" s="1">
        <v>45936</v>
      </c>
      <c r="C480" t="s">
        <v>14</v>
      </c>
      <c r="D480" t="s">
        <v>15</v>
      </c>
      <c r="E480" t="s">
        <v>20</v>
      </c>
      <c r="F480" t="s">
        <v>75</v>
      </c>
      <c r="G480" t="s">
        <v>37</v>
      </c>
      <c r="H480">
        <v>1</v>
      </c>
      <c r="I480" s="3">
        <v>45</v>
      </c>
      <c r="J480" s="4">
        <v>0</v>
      </c>
      <c r="K480" s="5">
        <v>45</v>
      </c>
      <c r="L480" t="s">
        <v>23</v>
      </c>
      <c r="M480">
        <v>5</v>
      </c>
    </row>
    <row r="481" spans="1:13">
      <c r="A481" t="s">
        <v>501</v>
      </c>
      <c r="B481" s="1">
        <v>45935</v>
      </c>
      <c r="C481" t="s">
        <v>34</v>
      </c>
      <c r="D481" t="s">
        <v>35</v>
      </c>
      <c r="E481" t="s">
        <v>20</v>
      </c>
      <c r="F481" t="s">
        <v>75</v>
      </c>
      <c r="G481" t="s">
        <v>37</v>
      </c>
      <c r="H481">
        <v>1</v>
      </c>
      <c r="I481" s="3">
        <v>45</v>
      </c>
      <c r="J481" s="4">
        <v>0</v>
      </c>
      <c r="K481" s="5">
        <v>45</v>
      </c>
      <c r="L481" t="s">
        <v>38</v>
      </c>
      <c r="M481">
        <v>4</v>
      </c>
    </row>
    <row r="482" spans="1:13">
      <c r="A482" t="s">
        <v>565</v>
      </c>
      <c r="B482" s="1">
        <v>45969</v>
      </c>
      <c r="C482" t="s">
        <v>54</v>
      </c>
      <c r="D482" t="s">
        <v>35</v>
      </c>
      <c r="E482" t="s">
        <v>20</v>
      </c>
      <c r="F482" t="s">
        <v>75</v>
      </c>
      <c r="G482" t="s">
        <v>37</v>
      </c>
      <c r="H482">
        <v>1</v>
      </c>
      <c r="I482" s="3">
        <v>45</v>
      </c>
      <c r="J482" s="4">
        <v>0</v>
      </c>
      <c r="K482" s="5">
        <v>45</v>
      </c>
      <c r="L482" t="s">
        <v>23</v>
      </c>
      <c r="M482">
        <v>4</v>
      </c>
    </row>
    <row r="483" spans="1:13">
      <c r="A483" t="s">
        <v>584</v>
      </c>
      <c r="B483" s="1">
        <v>45980</v>
      </c>
      <c r="C483" t="s">
        <v>54</v>
      </c>
      <c r="D483" t="s">
        <v>35</v>
      </c>
      <c r="E483" t="s">
        <v>20</v>
      </c>
      <c r="F483" t="s">
        <v>75</v>
      </c>
      <c r="G483" t="s">
        <v>37</v>
      </c>
      <c r="H483">
        <v>1</v>
      </c>
      <c r="I483" s="3">
        <v>45</v>
      </c>
      <c r="J483" s="4">
        <v>0</v>
      </c>
      <c r="K483" s="5">
        <v>45</v>
      </c>
      <c r="L483" t="s">
        <v>18</v>
      </c>
      <c r="M483">
        <v>3</v>
      </c>
    </row>
    <row r="484" spans="1:13">
      <c r="A484" t="s">
        <v>190</v>
      </c>
      <c r="B484" s="1">
        <v>45731</v>
      </c>
      <c r="C484" t="s">
        <v>34</v>
      </c>
      <c r="D484" t="s">
        <v>35</v>
      </c>
      <c r="E484" t="s">
        <v>20</v>
      </c>
      <c r="F484" t="s">
        <v>75</v>
      </c>
      <c r="G484" t="s">
        <v>2</v>
      </c>
      <c r="H484">
        <v>1</v>
      </c>
      <c r="I484" s="3">
        <v>45</v>
      </c>
      <c r="J484" s="4">
        <v>0.05</v>
      </c>
      <c r="K484" s="5">
        <v>42.75</v>
      </c>
      <c r="L484" t="s">
        <v>23</v>
      </c>
      <c r="M484">
        <v>5</v>
      </c>
    </row>
    <row r="485" spans="1:13">
      <c r="A485" t="s">
        <v>261</v>
      </c>
      <c r="B485" s="1">
        <v>45780</v>
      </c>
      <c r="C485" t="s">
        <v>14</v>
      </c>
      <c r="D485" t="s">
        <v>15</v>
      </c>
      <c r="E485" t="s">
        <v>20</v>
      </c>
      <c r="F485" t="s">
        <v>75</v>
      </c>
      <c r="G485" t="s">
        <v>2</v>
      </c>
      <c r="H485">
        <v>1</v>
      </c>
      <c r="I485" s="3">
        <v>45</v>
      </c>
      <c r="J485" s="4">
        <v>0.05</v>
      </c>
      <c r="K485" s="5">
        <v>42.75</v>
      </c>
      <c r="L485" t="s">
        <v>23</v>
      </c>
    </row>
    <row r="486" spans="1:13">
      <c r="A486" t="s">
        <v>180</v>
      </c>
      <c r="B486" s="1">
        <v>45725</v>
      </c>
      <c r="C486" t="s">
        <v>57</v>
      </c>
      <c r="D486" t="s">
        <v>15</v>
      </c>
      <c r="E486" t="s">
        <v>20</v>
      </c>
      <c r="F486" t="s">
        <v>75</v>
      </c>
      <c r="G486" t="s">
        <v>22</v>
      </c>
      <c r="H486">
        <v>1</v>
      </c>
      <c r="I486" s="3">
        <v>45</v>
      </c>
      <c r="J486" s="4">
        <v>0.1</v>
      </c>
      <c r="K486" s="5">
        <v>40.5</v>
      </c>
      <c r="L486" t="s">
        <v>18</v>
      </c>
      <c r="M486">
        <v>3</v>
      </c>
    </row>
    <row r="487" spans="1:13">
      <c r="A487" t="s">
        <v>278</v>
      </c>
      <c r="B487" s="1">
        <v>45792</v>
      </c>
      <c r="C487" t="s">
        <v>31</v>
      </c>
      <c r="D487" t="s">
        <v>15</v>
      </c>
      <c r="E487" t="s">
        <v>20</v>
      </c>
      <c r="F487" t="s">
        <v>75</v>
      </c>
      <c r="G487" t="s">
        <v>2</v>
      </c>
      <c r="H487">
        <v>1</v>
      </c>
      <c r="I487" s="3">
        <v>45</v>
      </c>
      <c r="J487" s="4">
        <v>0.1</v>
      </c>
      <c r="K487" s="5">
        <v>40.5</v>
      </c>
      <c r="L487" t="s">
        <v>23</v>
      </c>
      <c r="M487">
        <v>4</v>
      </c>
    </row>
    <row r="488" spans="1:13">
      <c r="A488" t="s">
        <v>432</v>
      </c>
      <c r="B488" s="1">
        <v>45898</v>
      </c>
      <c r="C488" t="s">
        <v>54</v>
      </c>
      <c r="D488" t="s">
        <v>35</v>
      </c>
      <c r="E488" t="s">
        <v>20</v>
      </c>
      <c r="F488" t="s">
        <v>75</v>
      </c>
      <c r="G488" t="s">
        <v>22</v>
      </c>
      <c r="H488">
        <v>1</v>
      </c>
      <c r="I488" s="3">
        <v>45</v>
      </c>
      <c r="J488" s="4">
        <v>0.1</v>
      </c>
      <c r="K488" s="5">
        <v>40.5</v>
      </c>
      <c r="L488" t="s">
        <v>23</v>
      </c>
      <c r="M488">
        <v>4</v>
      </c>
    </row>
    <row r="489" spans="1:13">
      <c r="A489" t="s">
        <v>574</v>
      </c>
      <c r="B489" s="1">
        <v>45972</v>
      </c>
      <c r="C489" t="s">
        <v>31</v>
      </c>
      <c r="D489" t="s">
        <v>15</v>
      </c>
      <c r="E489" t="s">
        <v>20</v>
      </c>
      <c r="F489" t="s">
        <v>75</v>
      </c>
      <c r="G489" t="s">
        <v>22</v>
      </c>
      <c r="H489">
        <v>1</v>
      </c>
      <c r="I489" s="3">
        <v>45</v>
      </c>
      <c r="J489" s="4">
        <v>0.1</v>
      </c>
      <c r="K489" s="5">
        <v>40.5</v>
      </c>
      <c r="L489" t="s">
        <v>23</v>
      </c>
    </row>
    <row r="490" spans="1:13">
      <c r="A490" t="s">
        <v>583</v>
      </c>
      <c r="B490" s="1">
        <v>45980</v>
      </c>
      <c r="C490" t="s">
        <v>14</v>
      </c>
      <c r="D490" t="s">
        <v>15</v>
      </c>
      <c r="E490" t="s">
        <v>20</v>
      </c>
      <c r="F490" t="s">
        <v>75</v>
      </c>
      <c r="G490" t="s">
        <v>22</v>
      </c>
      <c r="H490">
        <v>1</v>
      </c>
      <c r="I490" s="3">
        <v>45</v>
      </c>
      <c r="J490" s="4">
        <v>0.1</v>
      </c>
      <c r="K490" s="5">
        <v>40.5</v>
      </c>
      <c r="L490" t="s">
        <v>23</v>
      </c>
      <c r="M490">
        <v>4</v>
      </c>
    </row>
    <row r="491" spans="1:13">
      <c r="A491" t="s">
        <v>255</v>
      </c>
      <c r="B491" s="1">
        <v>45777</v>
      </c>
      <c r="C491" t="s">
        <v>31</v>
      </c>
      <c r="D491" t="s">
        <v>15</v>
      </c>
      <c r="E491" t="s">
        <v>20</v>
      </c>
      <c r="F491" t="s">
        <v>75</v>
      </c>
      <c r="G491" t="s">
        <v>2</v>
      </c>
      <c r="H491">
        <v>1</v>
      </c>
      <c r="I491" s="3">
        <v>45</v>
      </c>
      <c r="J491" s="4">
        <v>0.15</v>
      </c>
      <c r="K491" s="5">
        <v>38.25</v>
      </c>
      <c r="L491" t="s">
        <v>23</v>
      </c>
      <c r="M491">
        <v>4</v>
      </c>
    </row>
    <row r="492" spans="1:13">
      <c r="A492" t="s">
        <v>601</v>
      </c>
      <c r="B492" s="1">
        <v>45989</v>
      </c>
      <c r="C492" t="s">
        <v>40</v>
      </c>
      <c r="D492" t="s">
        <v>41</v>
      </c>
      <c r="E492" t="s">
        <v>20</v>
      </c>
      <c r="F492" t="s">
        <v>75</v>
      </c>
      <c r="G492" t="s">
        <v>2</v>
      </c>
      <c r="H492">
        <v>1</v>
      </c>
      <c r="I492" s="3">
        <v>45</v>
      </c>
      <c r="J492" s="4">
        <v>0.15</v>
      </c>
      <c r="K492" s="5">
        <v>38.25</v>
      </c>
      <c r="L492" t="s">
        <v>23</v>
      </c>
      <c r="M492">
        <v>5</v>
      </c>
    </row>
    <row r="493" spans="1:13">
      <c r="A493" t="s">
        <v>72</v>
      </c>
      <c r="B493" s="1">
        <v>45672</v>
      </c>
      <c r="C493" t="s">
        <v>25</v>
      </c>
      <c r="D493" t="s">
        <v>15</v>
      </c>
      <c r="E493" t="s">
        <v>16</v>
      </c>
      <c r="F493" t="s">
        <v>17</v>
      </c>
      <c r="G493" t="s">
        <v>2</v>
      </c>
      <c r="H493">
        <v>2</v>
      </c>
      <c r="I493" s="3">
        <v>19</v>
      </c>
      <c r="J493" s="4">
        <v>0</v>
      </c>
      <c r="K493" s="5">
        <v>38</v>
      </c>
      <c r="L493" t="s">
        <v>23</v>
      </c>
      <c r="M493">
        <v>4</v>
      </c>
    </row>
    <row r="494" spans="1:13">
      <c r="A494" t="s">
        <v>128</v>
      </c>
      <c r="B494" s="1">
        <v>45700</v>
      </c>
      <c r="C494" t="s">
        <v>57</v>
      </c>
      <c r="D494" t="s">
        <v>15</v>
      </c>
      <c r="E494" t="s">
        <v>16</v>
      </c>
      <c r="F494" t="s">
        <v>17</v>
      </c>
      <c r="G494" t="s">
        <v>2</v>
      </c>
      <c r="H494">
        <v>2</v>
      </c>
      <c r="I494" s="3">
        <v>19</v>
      </c>
      <c r="J494" s="4">
        <v>0</v>
      </c>
      <c r="K494" s="5">
        <v>38</v>
      </c>
      <c r="L494" t="s">
        <v>23</v>
      </c>
      <c r="M494">
        <v>3</v>
      </c>
    </row>
    <row r="495" spans="1:13">
      <c r="A495" t="s">
        <v>483</v>
      </c>
      <c r="B495" s="1">
        <v>45927</v>
      </c>
      <c r="C495" t="s">
        <v>25</v>
      </c>
      <c r="D495" t="s">
        <v>15</v>
      </c>
      <c r="E495" t="s">
        <v>16</v>
      </c>
      <c r="F495" t="s">
        <v>17</v>
      </c>
      <c r="G495" t="s">
        <v>2</v>
      </c>
      <c r="H495">
        <v>2</v>
      </c>
      <c r="I495" s="3">
        <v>19</v>
      </c>
      <c r="J495" s="4">
        <v>0</v>
      </c>
      <c r="K495" s="5">
        <v>38</v>
      </c>
      <c r="L495" t="s">
        <v>38</v>
      </c>
      <c r="M495">
        <v>5</v>
      </c>
    </row>
    <row r="496" spans="1:13">
      <c r="A496" t="s">
        <v>650</v>
      </c>
      <c r="B496" s="1">
        <v>46017</v>
      </c>
      <c r="C496" t="s">
        <v>57</v>
      </c>
      <c r="D496" t="s">
        <v>15</v>
      </c>
      <c r="E496" t="s">
        <v>16</v>
      </c>
      <c r="F496" t="s">
        <v>17</v>
      </c>
      <c r="G496" t="s">
        <v>2</v>
      </c>
      <c r="H496">
        <v>2</v>
      </c>
      <c r="I496" s="3">
        <v>19</v>
      </c>
      <c r="J496" s="4">
        <v>0</v>
      </c>
      <c r="K496" s="5">
        <v>38</v>
      </c>
      <c r="L496" t="s">
        <v>51</v>
      </c>
      <c r="M496">
        <v>5</v>
      </c>
    </row>
    <row r="497" spans="1:13">
      <c r="A497" t="s">
        <v>53</v>
      </c>
      <c r="B497" s="1">
        <v>45666</v>
      </c>
      <c r="C497" t="s">
        <v>54</v>
      </c>
      <c r="D497" t="s">
        <v>35</v>
      </c>
      <c r="E497" t="s">
        <v>20</v>
      </c>
      <c r="F497" t="s">
        <v>55</v>
      </c>
      <c r="G497" t="s">
        <v>2</v>
      </c>
      <c r="H497">
        <v>1</v>
      </c>
      <c r="I497" s="3">
        <v>35</v>
      </c>
      <c r="J497" s="4">
        <v>0</v>
      </c>
      <c r="K497" s="5">
        <v>35</v>
      </c>
      <c r="L497" t="s">
        <v>18</v>
      </c>
      <c r="M497">
        <v>3</v>
      </c>
    </row>
    <row r="498" spans="1:13">
      <c r="A498" t="s">
        <v>87</v>
      </c>
      <c r="B498" s="1">
        <v>45682</v>
      </c>
      <c r="C498" t="s">
        <v>14</v>
      </c>
      <c r="D498" t="s">
        <v>15</v>
      </c>
      <c r="E498" t="s">
        <v>20</v>
      </c>
      <c r="F498" t="s">
        <v>55</v>
      </c>
      <c r="G498" t="s">
        <v>22</v>
      </c>
      <c r="H498">
        <v>1</v>
      </c>
      <c r="I498" s="3">
        <v>35</v>
      </c>
      <c r="J498" s="4">
        <v>0</v>
      </c>
      <c r="K498" s="5">
        <v>35</v>
      </c>
      <c r="L498" t="s">
        <v>51</v>
      </c>
      <c r="M498">
        <v>1</v>
      </c>
    </row>
    <row r="499" spans="1:13">
      <c r="A499" t="s">
        <v>357</v>
      </c>
      <c r="B499" s="1">
        <v>45841</v>
      </c>
      <c r="C499" t="s">
        <v>40</v>
      </c>
      <c r="D499" t="s">
        <v>41</v>
      </c>
      <c r="E499" t="s">
        <v>20</v>
      </c>
      <c r="F499" t="s">
        <v>55</v>
      </c>
      <c r="G499" t="s">
        <v>2</v>
      </c>
      <c r="H499">
        <v>1</v>
      </c>
      <c r="I499" s="3">
        <v>35</v>
      </c>
      <c r="J499" s="4">
        <v>0</v>
      </c>
      <c r="K499" s="5">
        <v>35</v>
      </c>
      <c r="L499" t="s">
        <v>38</v>
      </c>
    </row>
    <row r="500" spans="1:13">
      <c r="A500" t="s">
        <v>117</v>
      </c>
      <c r="B500" s="1">
        <v>45695</v>
      </c>
      <c r="C500" t="s">
        <v>40</v>
      </c>
      <c r="D500" t="s">
        <v>41</v>
      </c>
      <c r="E500" t="s">
        <v>20</v>
      </c>
      <c r="F500" t="s">
        <v>55</v>
      </c>
      <c r="G500" t="s">
        <v>22</v>
      </c>
      <c r="H500">
        <v>1</v>
      </c>
      <c r="I500" s="3">
        <v>35</v>
      </c>
      <c r="J500" s="4">
        <v>0</v>
      </c>
      <c r="K500" s="5">
        <v>35</v>
      </c>
      <c r="L500" t="s">
        <v>23</v>
      </c>
      <c r="M500">
        <v>5</v>
      </c>
    </row>
    <row r="501" spans="1:13">
      <c r="A501" t="s">
        <v>555</v>
      </c>
      <c r="B501" s="1">
        <v>45965</v>
      </c>
      <c r="C501" t="s">
        <v>54</v>
      </c>
      <c r="D501" t="s">
        <v>35</v>
      </c>
      <c r="E501" t="s">
        <v>20</v>
      </c>
      <c r="F501" t="s">
        <v>55</v>
      </c>
      <c r="G501" t="s">
        <v>37</v>
      </c>
      <c r="H501">
        <v>1</v>
      </c>
      <c r="I501" s="3">
        <v>35</v>
      </c>
      <c r="J501" s="4">
        <v>0</v>
      </c>
      <c r="K501" s="5">
        <v>35</v>
      </c>
      <c r="L501" t="s">
        <v>18</v>
      </c>
      <c r="M501">
        <v>5</v>
      </c>
    </row>
    <row r="502" spans="1:13">
      <c r="A502" t="s">
        <v>131</v>
      </c>
      <c r="B502" s="1">
        <v>45701</v>
      </c>
      <c r="C502" t="s">
        <v>57</v>
      </c>
      <c r="D502" t="s">
        <v>15</v>
      </c>
      <c r="E502" t="s">
        <v>20</v>
      </c>
      <c r="F502" t="s">
        <v>55</v>
      </c>
      <c r="G502" t="s">
        <v>22</v>
      </c>
      <c r="H502">
        <v>1</v>
      </c>
      <c r="I502" s="3">
        <v>35</v>
      </c>
      <c r="J502" s="4">
        <v>0</v>
      </c>
      <c r="K502" s="5">
        <v>35</v>
      </c>
      <c r="L502" t="s">
        <v>23</v>
      </c>
    </row>
    <row r="503" spans="1:13">
      <c r="A503" t="s">
        <v>230</v>
      </c>
      <c r="B503" s="1">
        <v>45761</v>
      </c>
      <c r="C503" t="s">
        <v>25</v>
      </c>
      <c r="D503" t="s">
        <v>15</v>
      </c>
      <c r="E503" t="s">
        <v>20</v>
      </c>
      <c r="F503" t="s">
        <v>55</v>
      </c>
      <c r="G503" t="s">
        <v>37</v>
      </c>
      <c r="H503">
        <v>1</v>
      </c>
      <c r="I503" s="3">
        <v>35</v>
      </c>
      <c r="J503" s="4">
        <v>0</v>
      </c>
      <c r="K503" s="5">
        <v>35</v>
      </c>
      <c r="L503" t="s">
        <v>23</v>
      </c>
      <c r="M503">
        <v>5</v>
      </c>
    </row>
    <row r="504" spans="1:13">
      <c r="A504" t="s">
        <v>252</v>
      </c>
      <c r="B504" s="1">
        <v>45776</v>
      </c>
      <c r="C504" t="s">
        <v>40</v>
      </c>
      <c r="D504" t="s">
        <v>41</v>
      </c>
      <c r="E504" t="s">
        <v>20</v>
      </c>
      <c r="F504" t="s">
        <v>55</v>
      </c>
      <c r="G504" t="s">
        <v>2</v>
      </c>
      <c r="H504">
        <v>1</v>
      </c>
      <c r="I504" s="3">
        <v>35</v>
      </c>
      <c r="J504" s="4">
        <v>0</v>
      </c>
      <c r="K504" s="5">
        <v>35</v>
      </c>
      <c r="L504" t="s">
        <v>23</v>
      </c>
      <c r="M504">
        <v>4</v>
      </c>
    </row>
    <row r="505" spans="1:13">
      <c r="A505" t="s">
        <v>254</v>
      </c>
      <c r="B505" s="1">
        <v>45777</v>
      </c>
      <c r="C505" t="s">
        <v>14</v>
      </c>
      <c r="D505" t="s">
        <v>15</v>
      </c>
      <c r="E505" t="s">
        <v>20</v>
      </c>
      <c r="F505" t="s">
        <v>55</v>
      </c>
      <c r="G505" t="s">
        <v>2</v>
      </c>
      <c r="H505">
        <v>1</v>
      </c>
      <c r="I505" s="3">
        <v>35</v>
      </c>
      <c r="J505" s="4">
        <v>0</v>
      </c>
      <c r="K505" s="5">
        <v>35</v>
      </c>
      <c r="L505" t="s">
        <v>23</v>
      </c>
      <c r="M505">
        <v>5</v>
      </c>
    </row>
    <row r="506" spans="1:13">
      <c r="A506" t="s">
        <v>335</v>
      </c>
      <c r="B506" s="1">
        <v>45824</v>
      </c>
      <c r="C506" t="s">
        <v>25</v>
      </c>
      <c r="D506" t="s">
        <v>15</v>
      </c>
      <c r="E506" t="s">
        <v>20</v>
      </c>
      <c r="F506" t="s">
        <v>55</v>
      </c>
      <c r="G506" t="s">
        <v>2</v>
      </c>
      <c r="H506">
        <v>1</v>
      </c>
      <c r="I506" s="3">
        <v>35</v>
      </c>
      <c r="J506" s="4">
        <v>0</v>
      </c>
      <c r="K506" s="5">
        <v>35</v>
      </c>
      <c r="L506" t="s">
        <v>23</v>
      </c>
      <c r="M506">
        <v>4</v>
      </c>
    </row>
    <row r="507" spans="1:13">
      <c r="A507" t="s">
        <v>366</v>
      </c>
      <c r="B507" s="1">
        <v>45845</v>
      </c>
      <c r="C507" t="s">
        <v>44</v>
      </c>
      <c r="D507" t="s">
        <v>45</v>
      </c>
      <c r="E507" t="s">
        <v>20</v>
      </c>
      <c r="F507" t="s">
        <v>55</v>
      </c>
      <c r="G507" t="s">
        <v>22</v>
      </c>
      <c r="H507">
        <v>1</v>
      </c>
      <c r="I507" s="3">
        <v>35</v>
      </c>
      <c r="J507" s="4">
        <v>0</v>
      </c>
      <c r="K507" s="5">
        <v>35</v>
      </c>
      <c r="L507" t="s">
        <v>23</v>
      </c>
      <c r="M507">
        <v>5</v>
      </c>
    </row>
    <row r="508" spans="1:13">
      <c r="A508" t="s">
        <v>449</v>
      </c>
      <c r="B508" s="1">
        <v>45908</v>
      </c>
      <c r="C508" t="s">
        <v>44</v>
      </c>
      <c r="D508" t="s">
        <v>45</v>
      </c>
      <c r="E508" t="s">
        <v>20</v>
      </c>
      <c r="F508" t="s">
        <v>55</v>
      </c>
      <c r="G508" t="s">
        <v>37</v>
      </c>
      <c r="H508">
        <v>1</v>
      </c>
      <c r="I508" s="3">
        <v>35</v>
      </c>
      <c r="J508" s="4">
        <v>0</v>
      </c>
      <c r="K508" s="5">
        <v>35</v>
      </c>
      <c r="L508" t="s">
        <v>23</v>
      </c>
      <c r="M508">
        <v>1</v>
      </c>
    </row>
    <row r="509" spans="1:13">
      <c r="A509" t="s">
        <v>581</v>
      </c>
      <c r="B509" s="1">
        <v>45980</v>
      </c>
      <c r="C509" t="s">
        <v>40</v>
      </c>
      <c r="D509" t="s">
        <v>41</v>
      </c>
      <c r="E509" t="s">
        <v>20</v>
      </c>
      <c r="F509" t="s">
        <v>55</v>
      </c>
      <c r="G509" t="s">
        <v>37</v>
      </c>
      <c r="H509">
        <v>1</v>
      </c>
      <c r="I509" s="3">
        <v>35</v>
      </c>
      <c r="J509" s="4">
        <v>0</v>
      </c>
      <c r="K509" s="5">
        <v>35</v>
      </c>
      <c r="L509" t="s">
        <v>51</v>
      </c>
    </row>
    <row r="510" spans="1:13">
      <c r="A510" t="s">
        <v>466</v>
      </c>
      <c r="B510" s="1">
        <v>45916</v>
      </c>
      <c r="C510" t="s">
        <v>31</v>
      </c>
      <c r="D510" t="s">
        <v>15</v>
      </c>
      <c r="E510" t="s">
        <v>20</v>
      </c>
      <c r="F510" t="s">
        <v>55</v>
      </c>
      <c r="G510" t="s">
        <v>22</v>
      </c>
      <c r="H510">
        <v>1</v>
      </c>
      <c r="I510" s="3">
        <v>35</v>
      </c>
      <c r="J510" s="4">
        <v>0</v>
      </c>
      <c r="K510" s="5">
        <v>35</v>
      </c>
      <c r="L510" t="s">
        <v>23</v>
      </c>
      <c r="M510">
        <v>4</v>
      </c>
    </row>
    <row r="511" spans="1:13">
      <c r="A511" t="s">
        <v>591</v>
      </c>
      <c r="B511" s="1">
        <v>45983</v>
      </c>
      <c r="C511" t="s">
        <v>34</v>
      </c>
      <c r="D511" t="s">
        <v>35</v>
      </c>
      <c r="E511" t="s">
        <v>20</v>
      </c>
      <c r="F511" t="s">
        <v>55</v>
      </c>
      <c r="G511" t="s">
        <v>22</v>
      </c>
      <c r="H511">
        <v>1</v>
      </c>
      <c r="I511" s="3">
        <v>35</v>
      </c>
      <c r="J511" s="4">
        <v>0</v>
      </c>
      <c r="K511" s="5">
        <v>35</v>
      </c>
      <c r="L511" t="s">
        <v>51</v>
      </c>
      <c r="M511">
        <v>5</v>
      </c>
    </row>
    <row r="512" spans="1:13">
      <c r="A512" t="s">
        <v>539</v>
      </c>
      <c r="B512" s="1">
        <v>45957</v>
      </c>
      <c r="C512" t="s">
        <v>57</v>
      </c>
      <c r="D512" t="s">
        <v>15</v>
      </c>
      <c r="E512" t="s">
        <v>20</v>
      </c>
      <c r="F512" t="s">
        <v>55</v>
      </c>
      <c r="G512" t="s">
        <v>22</v>
      </c>
      <c r="H512">
        <v>1</v>
      </c>
      <c r="I512" s="3">
        <v>35</v>
      </c>
      <c r="J512" s="4">
        <v>0</v>
      </c>
      <c r="K512" s="5">
        <v>35</v>
      </c>
      <c r="L512" t="s">
        <v>23</v>
      </c>
      <c r="M512">
        <v>4</v>
      </c>
    </row>
    <row r="513" spans="1:13">
      <c r="A513" t="s">
        <v>540</v>
      </c>
      <c r="B513" s="1">
        <v>45957</v>
      </c>
      <c r="C513" t="s">
        <v>14</v>
      </c>
      <c r="D513" t="s">
        <v>15</v>
      </c>
      <c r="E513" t="s">
        <v>20</v>
      </c>
      <c r="F513" t="s">
        <v>55</v>
      </c>
      <c r="G513" t="s">
        <v>2</v>
      </c>
      <c r="H513">
        <v>1</v>
      </c>
      <c r="I513" s="3">
        <v>35</v>
      </c>
      <c r="J513" s="4">
        <v>0</v>
      </c>
      <c r="K513" s="5">
        <v>35</v>
      </c>
      <c r="L513" t="s">
        <v>23</v>
      </c>
      <c r="M513">
        <v>5</v>
      </c>
    </row>
    <row r="514" spans="1:13">
      <c r="A514" t="s">
        <v>541</v>
      </c>
      <c r="B514" s="1">
        <v>45957</v>
      </c>
      <c r="C514" t="s">
        <v>44</v>
      </c>
      <c r="D514" t="s">
        <v>45</v>
      </c>
      <c r="E514" t="s">
        <v>20</v>
      </c>
      <c r="F514" t="s">
        <v>55</v>
      </c>
      <c r="G514" t="s">
        <v>2</v>
      </c>
      <c r="H514">
        <v>1</v>
      </c>
      <c r="I514" s="3">
        <v>35</v>
      </c>
      <c r="J514" s="4">
        <v>0</v>
      </c>
      <c r="K514" s="5">
        <v>35</v>
      </c>
      <c r="L514" t="s">
        <v>23</v>
      </c>
      <c r="M514">
        <v>5</v>
      </c>
    </row>
    <row r="515" spans="1:13">
      <c r="A515" t="s">
        <v>617</v>
      </c>
      <c r="B515" s="1">
        <v>45998</v>
      </c>
      <c r="C515" t="s">
        <v>31</v>
      </c>
      <c r="D515" t="s">
        <v>15</v>
      </c>
      <c r="E515" t="s">
        <v>20</v>
      </c>
      <c r="F515" t="s">
        <v>55</v>
      </c>
      <c r="G515" t="s">
        <v>22</v>
      </c>
      <c r="H515">
        <v>1</v>
      </c>
      <c r="I515" s="3">
        <v>35</v>
      </c>
      <c r="J515" s="4">
        <v>0</v>
      </c>
      <c r="K515" s="5">
        <v>35</v>
      </c>
      <c r="L515" t="s">
        <v>23</v>
      </c>
      <c r="M515">
        <v>4</v>
      </c>
    </row>
    <row r="516" spans="1:13">
      <c r="A516" t="s">
        <v>638</v>
      </c>
      <c r="B516" s="1">
        <v>46011</v>
      </c>
      <c r="C516" t="s">
        <v>34</v>
      </c>
      <c r="D516" t="s">
        <v>35</v>
      </c>
      <c r="E516" t="s">
        <v>20</v>
      </c>
      <c r="F516" t="s">
        <v>55</v>
      </c>
      <c r="G516" t="s">
        <v>2</v>
      </c>
      <c r="H516">
        <v>1</v>
      </c>
      <c r="I516" s="3">
        <v>35</v>
      </c>
      <c r="J516" s="4">
        <v>0</v>
      </c>
      <c r="K516" s="5">
        <v>35</v>
      </c>
      <c r="L516" t="s">
        <v>38</v>
      </c>
      <c r="M516">
        <v>5</v>
      </c>
    </row>
    <row r="517" spans="1:13">
      <c r="A517" t="s">
        <v>640</v>
      </c>
      <c r="B517" s="1">
        <v>46011</v>
      </c>
      <c r="C517" t="s">
        <v>57</v>
      </c>
      <c r="D517" t="s">
        <v>15</v>
      </c>
      <c r="E517" t="s">
        <v>20</v>
      </c>
      <c r="F517" t="s">
        <v>55</v>
      </c>
      <c r="G517" t="s">
        <v>37</v>
      </c>
      <c r="H517">
        <v>1</v>
      </c>
      <c r="I517" s="3">
        <v>35</v>
      </c>
      <c r="J517" s="4">
        <v>0</v>
      </c>
      <c r="K517" s="5">
        <v>35</v>
      </c>
      <c r="L517" t="s">
        <v>38</v>
      </c>
      <c r="M517">
        <v>3</v>
      </c>
    </row>
    <row r="518" spans="1:13">
      <c r="A518" t="s">
        <v>481</v>
      </c>
      <c r="B518" s="1">
        <v>45926</v>
      </c>
      <c r="C518" t="s">
        <v>40</v>
      </c>
      <c r="D518" t="s">
        <v>41</v>
      </c>
      <c r="E518" t="s">
        <v>16</v>
      </c>
      <c r="F518" t="s">
        <v>17</v>
      </c>
      <c r="G518" t="s">
        <v>2</v>
      </c>
      <c r="H518">
        <v>2</v>
      </c>
      <c r="I518" s="3">
        <v>19</v>
      </c>
      <c r="J518" s="4">
        <v>0.1</v>
      </c>
      <c r="K518" s="5">
        <v>34.200000000000003</v>
      </c>
      <c r="L518" t="s">
        <v>23</v>
      </c>
      <c r="M518">
        <v>2</v>
      </c>
    </row>
    <row r="519" spans="1:13">
      <c r="A519" t="s">
        <v>612</v>
      </c>
      <c r="B519" s="1">
        <v>45996</v>
      </c>
      <c r="C519" t="s">
        <v>31</v>
      </c>
      <c r="D519" t="s">
        <v>15</v>
      </c>
      <c r="E519" t="s">
        <v>16</v>
      </c>
      <c r="F519" t="s">
        <v>17</v>
      </c>
      <c r="G519" t="s">
        <v>2</v>
      </c>
      <c r="H519">
        <v>2</v>
      </c>
      <c r="I519" s="3">
        <v>19</v>
      </c>
      <c r="J519" s="4">
        <v>0.1</v>
      </c>
      <c r="K519" s="5">
        <v>34.200000000000003</v>
      </c>
      <c r="L519" t="s">
        <v>18</v>
      </c>
      <c r="M519">
        <v>5</v>
      </c>
    </row>
    <row r="520" spans="1:13">
      <c r="A520" t="s">
        <v>68</v>
      </c>
      <c r="B520" s="1">
        <v>45669</v>
      </c>
      <c r="C520" t="s">
        <v>34</v>
      </c>
      <c r="D520" t="s">
        <v>35</v>
      </c>
      <c r="E520" t="s">
        <v>20</v>
      </c>
      <c r="F520" t="s">
        <v>55</v>
      </c>
      <c r="G520" t="s">
        <v>22</v>
      </c>
      <c r="H520">
        <v>1</v>
      </c>
      <c r="I520" s="3">
        <v>35</v>
      </c>
      <c r="J520" s="4">
        <v>0.05</v>
      </c>
      <c r="K520" s="5">
        <v>33.25</v>
      </c>
      <c r="L520" t="s">
        <v>38</v>
      </c>
      <c r="M520">
        <v>3</v>
      </c>
    </row>
    <row r="521" spans="1:13">
      <c r="A521" t="s">
        <v>93</v>
      </c>
      <c r="B521" s="1">
        <v>45684</v>
      </c>
      <c r="C521" t="s">
        <v>34</v>
      </c>
      <c r="D521" t="s">
        <v>35</v>
      </c>
      <c r="E521" t="s">
        <v>20</v>
      </c>
      <c r="F521" t="s">
        <v>55</v>
      </c>
      <c r="G521" t="s">
        <v>22</v>
      </c>
      <c r="H521">
        <v>1</v>
      </c>
      <c r="I521" s="3">
        <v>35</v>
      </c>
      <c r="J521" s="4">
        <v>0.05</v>
      </c>
      <c r="K521" s="5">
        <v>33.25</v>
      </c>
      <c r="L521" t="s">
        <v>18</v>
      </c>
      <c r="M521">
        <v>4</v>
      </c>
    </row>
    <row r="522" spans="1:13">
      <c r="A522" t="s">
        <v>566</v>
      </c>
      <c r="B522" s="1">
        <v>45969</v>
      </c>
      <c r="C522" t="s">
        <v>57</v>
      </c>
      <c r="D522" t="s">
        <v>15</v>
      </c>
      <c r="E522" t="s">
        <v>20</v>
      </c>
      <c r="F522" t="s">
        <v>55</v>
      </c>
      <c r="G522" t="s">
        <v>2</v>
      </c>
      <c r="H522">
        <v>1</v>
      </c>
      <c r="I522" s="3">
        <v>35</v>
      </c>
      <c r="J522" s="4">
        <v>0.05</v>
      </c>
      <c r="K522" s="5">
        <v>33.25</v>
      </c>
      <c r="L522" t="s">
        <v>18</v>
      </c>
      <c r="M522">
        <v>5</v>
      </c>
    </row>
    <row r="523" spans="1:13">
      <c r="A523" t="s">
        <v>592</v>
      </c>
      <c r="B523" s="1">
        <v>45983</v>
      </c>
      <c r="C523" t="s">
        <v>31</v>
      </c>
      <c r="D523" t="s">
        <v>15</v>
      </c>
      <c r="E523" t="s">
        <v>20</v>
      </c>
      <c r="F523" t="s">
        <v>55</v>
      </c>
      <c r="G523" t="s">
        <v>2</v>
      </c>
      <c r="H523">
        <v>1</v>
      </c>
      <c r="I523" s="3">
        <v>35</v>
      </c>
      <c r="J523" s="4">
        <v>0.05</v>
      </c>
      <c r="K523" s="5">
        <v>33.25</v>
      </c>
      <c r="L523" t="s">
        <v>51</v>
      </c>
      <c r="M523">
        <v>5</v>
      </c>
    </row>
    <row r="524" spans="1:13">
      <c r="A524" t="s">
        <v>125</v>
      </c>
      <c r="B524" s="1">
        <v>45699</v>
      </c>
      <c r="C524" t="s">
        <v>31</v>
      </c>
      <c r="D524" t="s">
        <v>15</v>
      </c>
      <c r="E524" t="s">
        <v>20</v>
      </c>
      <c r="F524" t="s">
        <v>55</v>
      </c>
      <c r="G524" t="s">
        <v>22</v>
      </c>
      <c r="H524">
        <v>1</v>
      </c>
      <c r="I524" s="3">
        <v>35</v>
      </c>
      <c r="J524" s="4">
        <v>0.05</v>
      </c>
      <c r="K524" s="5">
        <v>33.25</v>
      </c>
      <c r="L524" t="s">
        <v>23</v>
      </c>
    </row>
    <row r="525" spans="1:13">
      <c r="A525" t="s">
        <v>347</v>
      </c>
      <c r="B525" s="1">
        <v>45831</v>
      </c>
      <c r="C525" t="s">
        <v>31</v>
      </c>
      <c r="D525" t="s">
        <v>15</v>
      </c>
      <c r="E525" t="s">
        <v>20</v>
      </c>
      <c r="F525" t="s">
        <v>55</v>
      </c>
      <c r="G525" t="s">
        <v>2</v>
      </c>
      <c r="H525">
        <v>1</v>
      </c>
      <c r="I525" s="3">
        <v>35</v>
      </c>
      <c r="J525" s="4">
        <v>0.05</v>
      </c>
      <c r="K525" s="5">
        <v>33.25</v>
      </c>
      <c r="L525" t="s">
        <v>23</v>
      </c>
    </row>
    <row r="526" spans="1:13">
      <c r="A526" t="s">
        <v>377</v>
      </c>
      <c r="B526" s="1">
        <v>45854</v>
      </c>
      <c r="C526" t="s">
        <v>34</v>
      </c>
      <c r="D526" t="s">
        <v>35</v>
      </c>
      <c r="E526" t="s">
        <v>20</v>
      </c>
      <c r="F526" t="s">
        <v>55</v>
      </c>
      <c r="G526" t="s">
        <v>22</v>
      </c>
      <c r="H526">
        <v>1</v>
      </c>
      <c r="I526" s="3">
        <v>35</v>
      </c>
      <c r="J526" s="4">
        <v>0.05</v>
      </c>
      <c r="K526" s="5">
        <v>33.25</v>
      </c>
      <c r="L526" t="s">
        <v>23</v>
      </c>
      <c r="M526">
        <v>4</v>
      </c>
    </row>
    <row r="527" spans="1:13">
      <c r="A527" t="s">
        <v>556</v>
      </c>
      <c r="B527" s="1">
        <v>45966</v>
      </c>
      <c r="C527" t="s">
        <v>34</v>
      </c>
      <c r="D527" t="s">
        <v>35</v>
      </c>
      <c r="E527" t="s">
        <v>20</v>
      </c>
      <c r="F527" t="s">
        <v>55</v>
      </c>
      <c r="G527" t="s">
        <v>2</v>
      </c>
      <c r="H527">
        <v>1</v>
      </c>
      <c r="I527" s="3">
        <v>35</v>
      </c>
      <c r="J527" s="4">
        <v>0.05</v>
      </c>
      <c r="K527" s="5">
        <v>33.25</v>
      </c>
      <c r="L527" t="s">
        <v>23</v>
      </c>
      <c r="M527">
        <v>1</v>
      </c>
    </row>
    <row r="528" spans="1:13">
      <c r="A528" t="s">
        <v>105</v>
      </c>
      <c r="B528" s="1">
        <v>45691</v>
      </c>
      <c r="C528" t="s">
        <v>34</v>
      </c>
      <c r="D528" t="s">
        <v>35</v>
      </c>
      <c r="E528" t="s">
        <v>20</v>
      </c>
      <c r="F528" t="s">
        <v>55</v>
      </c>
      <c r="G528" t="s">
        <v>22</v>
      </c>
      <c r="H528">
        <v>1</v>
      </c>
      <c r="I528" s="3">
        <v>35</v>
      </c>
      <c r="J528" s="4">
        <v>0.15</v>
      </c>
      <c r="K528" s="5">
        <v>29.75</v>
      </c>
      <c r="L528" t="s">
        <v>23</v>
      </c>
      <c r="M528">
        <v>4</v>
      </c>
    </row>
    <row r="529" spans="1:13">
      <c r="A529" t="s">
        <v>56</v>
      </c>
      <c r="B529" s="1">
        <v>45667</v>
      </c>
      <c r="C529" t="s">
        <v>57</v>
      </c>
      <c r="D529" t="s">
        <v>15</v>
      </c>
      <c r="E529" t="s">
        <v>16</v>
      </c>
      <c r="F529" t="s">
        <v>46</v>
      </c>
      <c r="G529" t="s">
        <v>2</v>
      </c>
      <c r="H529">
        <v>1</v>
      </c>
      <c r="I529" s="3">
        <v>29</v>
      </c>
      <c r="J529" s="4">
        <v>0</v>
      </c>
      <c r="K529" s="5">
        <v>29</v>
      </c>
      <c r="L529" t="s">
        <v>23</v>
      </c>
      <c r="M529">
        <v>4</v>
      </c>
    </row>
    <row r="530" spans="1:13">
      <c r="A530" t="s">
        <v>69</v>
      </c>
      <c r="B530" s="1">
        <v>45671</v>
      </c>
      <c r="C530" t="s">
        <v>40</v>
      </c>
      <c r="D530" t="s">
        <v>41</v>
      </c>
      <c r="E530" t="s">
        <v>16</v>
      </c>
      <c r="F530" t="s">
        <v>46</v>
      </c>
      <c r="G530" t="s">
        <v>2</v>
      </c>
      <c r="H530">
        <v>1</v>
      </c>
      <c r="I530" s="3">
        <v>29</v>
      </c>
      <c r="J530" s="4">
        <v>0</v>
      </c>
      <c r="K530" s="5">
        <v>29</v>
      </c>
      <c r="L530" t="s">
        <v>18</v>
      </c>
      <c r="M530">
        <v>4</v>
      </c>
    </row>
    <row r="531" spans="1:13">
      <c r="A531" t="s">
        <v>120</v>
      </c>
      <c r="B531" s="1">
        <v>45697</v>
      </c>
      <c r="C531" t="s">
        <v>54</v>
      </c>
      <c r="D531" t="s">
        <v>35</v>
      </c>
      <c r="E531" t="s">
        <v>16</v>
      </c>
      <c r="F531" t="s">
        <v>46</v>
      </c>
      <c r="G531" t="s">
        <v>2</v>
      </c>
      <c r="H531">
        <v>1</v>
      </c>
      <c r="I531" s="3">
        <v>29</v>
      </c>
      <c r="J531" s="4">
        <v>0</v>
      </c>
      <c r="K531" s="5">
        <v>29</v>
      </c>
      <c r="L531" t="s">
        <v>23</v>
      </c>
      <c r="M531">
        <v>5</v>
      </c>
    </row>
    <row r="532" spans="1:13">
      <c r="A532" t="s">
        <v>169</v>
      </c>
      <c r="B532" s="1">
        <v>45722</v>
      </c>
      <c r="C532" t="s">
        <v>44</v>
      </c>
      <c r="D532" t="s">
        <v>45</v>
      </c>
      <c r="E532" t="s">
        <v>16</v>
      </c>
      <c r="F532" t="s">
        <v>46</v>
      </c>
      <c r="G532" t="s">
        <v>2</v>
      </c>
      <c r="H532">
        <v>1</v>
      </c>
      <c r="I532" s="3">
        <v>29</v>
      </c>
      <c r="J532" s="4">
        <v>0</v>
      </c>
      <c r="K532" s="5">
        <v>29</v>
      </c>
      <c r="L532" t="s">
        <v>18</v>
      </c>
      <c r="M532">
        <v>5</v>
      </c>
    </row>
    <row r="533" spans="1:13">
      <c r="A533" t="s">
        <v>196</v>
      </c>
      <c r="B533" s="1">
        <v>45734</v>
      </c>
      <c r="C533" t="s">
        <v>34</v>
      </c>
      <c r="D533" t="s">
        <v>35</v>
      </c>
      <c r="E533" t="s">
        <v>16</v>
      </c>
      <c r="F533" t="s">
        <v>46</v>
      </c>
      <c r="G533" t="s">
        <v>2</v>
      </c>
      <c r="H533">
        <v>1</v>
      </c>
      <c r="I533" s="3">
        <v>29</v>
      </c>
      <c r="J533" s="4">
        <v>0</v>
      </c>
      <c r="K533" s="5">
        <v>29</v>
      </c>
      <c r="L533" t="s">
        <v>23</v>
      </c>
      <c r="M533">
        <v>5</v>
      </c>
    </row>
    <row r="534" spans="1:13">
      <c r="A534" t="s">
        <v>227</v>
      </c>
      <c r="B534" s="1">
        <v>45760</v>
      </c>
      <c r="C534" t="s">
        <v>14</v>
      </c>
      <c r="D534" t="s">
        <v>15</v>
      </c>
      <c r="E534" t="s">
        <v>16</v>
      </c>
      <c r="F534" t="s">
        <v>46</v>
      </c>
      <c r="G534" t="s">
        <v>2</v>
      </c>
      <c r="H534">
        <v>1</v>
      </c>
      <c r="I534" s="3">
        <v>29</v>
      </c>
      <c r="J534" s="4">
        <v>0</v>
      </c>
      <c r="K534" s="5">
        <v>29</v>
      </c>
      <c r="L534" t="s">
        <v>23</v>
      </c>
      <c r="M534">
        <v>2</v>
      </c>
    </row>
    <row r="535" spans="1:13">
      <c r="A535" t="s">
        <v>264</v>
      </c>
      <c r="B535" s="1">
        <v>45781</v>
      </c>
      <c r="C535" t="s">
        <v>14</v>
      </c>
      <c r="D535" t="s">
        <v>15</v>
      </c>
      <c r="E535" t="s">
        <v>16</v>
      </c>
      <c r="F535" t="s">
        <v>46</v>
      </c>
      <c r="G535" t="s">
        <v>2</v>
      </c>
      <c r="H535">
        <v>1</v>
      </c>
      <c r="I535" s="3">
        <v>29</v>
      </c>
      <c r="J535" s="4">
        <v>0</v>
      </c>
      <c r="K535" s="5">
        <v>29</v>
      </c>
      <c r="L535" t="s">
        <v>23</v>
      </c>
      <c r="M535">
        <v>4</v>
      </c>
    </row>
    <row r="536" spans="1:13">
      <c r="A536" t="s">
        <v>280</v>
      </c>
      <c r="B536" s="1">
        <v>45793</v>
      </c>
      <c r="C536" t="s">
        <v>34</v>
      </c>
      <c r="D536" t="s">
        <v>35</v>
      </c>
      <c r="E536" t="s">
        <v>16</v>
      </c>
      <c r="F536" t="s">
        <v>46</v>
      </c>
      <c r="G536" t="s">
        <v>2</v>
      </c>
      <c r="H536">
        <v>1</v>
      </c>
      <c r="I536" s="3">
        <v>29</v>
      </c>
      <c r="J536" s="4">
        <v>0</v>
      </c>
      <c r="K536" s="5">
        <v>29</v>
      </c>
      <c r="L536" t="s">
        <v>23</v>
      </c>
      <c r="M536">
        <v>5</v>
      </c>
    </row>
    <row r="537" spans="1:13">
      <c r="A537" t="s">
        <v>291</v>
      </c>
      <c r="B537" s="1">
        <v>45799</v>
      </c>
      <c r="C537" t="s">
        <v>25</v>
      </c>
      <c r="D537" t="s">
        <v>15</v>
      </c>
      <c r="E537" t="s">
        <v>16</v>
      </c>
      <c r="F537" t="s">
        <v>46</v>
      </c>
      <c r="G537" t="s">
        <v>2</v>
      </c>
      <c r="H537">
        <v>1</v>
      </c>
      <c r="I537" s="3">
        <v>29</v>
      </c>
      <c r="J537" s="4">
        <v>0</v>
      </c>
      <c r="K537" s="5">
        <v>29</v>
      </c>
      <c r="L537" t="s">
        <v>23</v>
      </c>
      <c r="M537">
        <v>1</v>
      </c>
    </row>
    <row r="538" spans="1:13">
      <c r="A538" t="s">
        <v>300</v>
      </c>
      <c r="B538" s="1">
        <v>45806</v>
      </c>
      <c r="C538" t="s">
        <v>14</v>
      </c>
      <c r="D538" t="s">
        <v>15</v>
      </c>
      <c r="E538" t="s">
        <v>16</v>
      </c>
      <c r="F538" t="s">
        <v>46</v>
      </c>
      <c r="G538" t="s">
        <v>2</v>
      </c>
      <c r="H538">
        <v>1</v>
      </c>
      <c r="I538" s="3">
        <v>29</v>
      </c>
      <c r="J538" s="4">
        <v>0</v>
      </c>
      <c r="K538" s="5">
        <v>29</v>
      </c>
      <c r="L538" t="s">
        <v>23</v>
      </c>
      <c r="M538">
        <v>4</v>
      </c>
    </row>
    <row r="539" spans="1:13">
      <c r="A539" t="s">
        <v>306</v>
      </c>
      <c r="B539" s="1">
        <v>45811</v>
      </c>
      <c r="C539" t="s">
        <v>34</v>
      </c>
      <c r="D539" t="s">
        <v>35</v>
      </c>
      <c r="E539" t="s">
        <v>16</v>
      </c>
      <c r="F539" t="s">
        <v>46</v>
      </c>
      <c r="G539" t="s">
        <v>2</v>
      </c>
      <c r="H539">
        <v>1</v>
      </c>
      <c r="I539" s="3">
        <v>29</v>
      </c>
      <c r="J539" s="4">
        <v>0</v>
      </c>
      <c r="K539" s="5">
        <v>29</v>
      </c>
      <c r="L539" t="s">
        <v>18</v>
      </c>
      <c r="M539">
        <v>3</v>
      </c>
    </row>
    <row r="540" spans="1:13">
      <c r="A540" t="s">
        <v>314</v>
      </c>
      <c r="B540" s="1">
        <v>45814</v>
      </c>
      <c r="C540" t="s">
        <v>34</v>
      </c>
      <c r="D540" t="s">
        <v>35</v>
      </c>
      <c r="E540" t="s">
        <v>16</v>
      </c>
      <c r="F540" t="s">
        <v>46</v>
      </c>
      <c r="G540" t="s">
        <v>2</v>
      </c>
      <c r="H540">
        <v>1</v>
      </c>
      <c r="I540" s="3">
        <v>29</v>
      </c>
      <c r="J540" s="4">
        <v>0</v>
      </c>
      <c r="K540" s="5">
        <v>29</v>
      </c>
      <c r="L540" t="s">
        <v>51</v>
      </c>
      <c r="M540">
        <v>4</v>
      </c>
    </row>
    <row r="541" spans="1:13">
      <c r="A541" t="s">
        <v>409</v>
      </c>
      <c r="B541" s="1">
        <v>45880</v>
      </c>
      <c r="C541" t="s">
        <v>44</v>
      </c>
      <c r="D541" t="s">
        <v>45</v>
      </c>
      <c r="E541" t="s">
        <v>16</v>
      </c>
      <c r="F541" t="s">
        <v>46</v>
      </c>
      <c r="G541" t="s">
        <v>2</v>
      </c>
      <c r="H541">
        <v>1</v>
      </c>
      <c r="I541" s="3">
        <v>29</v>
      </c>
      <c r="J541" s="4">
        <v>0</v>
      </c>
      <c r="K541" s="5">
        <v>29</v>
      </c>
      <c r="L541" t="s">
        <v>23</v>
      </c>
      <c r="M541">
        <v>5</v>
      </c>
    </row>
    <row r="542" spans="1:13">
      <c r="A542" t="s">
        <v>452</v>
      </c>
      <c r="B542" s="1">
        <v>45909</v>
      </c>
      <c r="C542" t="s">
        <v>54</v>
      </c>
      <c r="D542" t="s">
        <v>35</v>
      </c>
      <c r="E542" t="s">
        <v>16</v>
      </c>
      <c r="F542" t="s">
        <v>46</v>
      </c>
      <c r="G542" t="s">
        <v>2</v>
      </c>
      <c r="H542">
        <v>1</v>
      </c>
      <c r="I542" s="3">
        <v>29</v>
      </c>
      <c r="J542" s="4">
        <v>0</v>
      </c>
      <c r="K542" s="5">
        <v>29</v>
      </c>
      <c r="L542" t="s">
        <v>23</v>
      </c>
      <c r="M542">
        <v>3</v>
      </c>
    </row>
    <row r="543" spans="1:13">
      <c r="A543" t="s">
        <v>467</v>
      </c>
      <c r="B543" s="1">
        <v>45916</v>
      </c>
      <c r="C543" t="s">
        <v>31</v>
      </c>
      <c r="D543" t="s">
        <v>15</v>
      </c>
      <c r="E543" t="s">
        <v>16</v>
      </c>
      <c r="F543" t="s">
        <v>46</v>
      </c>
      <c r="G543" t="s">
        <v>2</v>
      </c>
      <c r="H543">
        <v>1</v>
      </c>
      <c r="I543" s="3">
        <v>29</v>
      </c>
      <c r="J543" s="4">
        <v>0</v>
      </c>
      <c r="K543" s="5">
        <v>29</v>
      </c>
      <c r="L543" t="s">
        <v>23</v>
      </c>
      <c r="M543">
        <v>2</v>
      </c>
    </row>
    <row r="544" spans="1:13">
      <c r="A544" t="s">
        <v>489</v>
      </c>
      <c r="B544" s="1">
        <v>45929</v>
      </c>
      <c r="C544" t="s">
        <v>14</v>
      </c>
      <c r="D544" t="s">
        <v>15</v>
      </c>
      <c r="E544" t="s">
        <v>16</v>
      </c>
      <c r="F544" t="s">
        <v>46</v>
      </c>
      <c r="G544" t="s">
        <v>2</v>
      </c>
      <c r="H544">
        <v>1</v>
      </c>
      <c r="I544" s="3">
        <v>29</v>
      </c>
      <c r="J544" s="4">
        <v>0</v>
      </c>
      <c r="K544" s="5">
        <v>29</v>
      </c>
      <c r="L544" t="s">
        <v>23</v>
      </c>
      <c r="M544">
        <v>5</v>
      </c>
    </row>
    <row r="545" spans="1:13">
      <c r="A545" t="s">
        <v>545</v>
      </c>
      <c r="B545" s="1">
        <v>45960</v>
      </c>
      <c r="C545" t="s">
        <v>34</v>
      </c>
      <c r="D545" t="s">
        <v>35</v>
      </c>
      <c r="E545" t="s">
        <v>16</v>
      </c>
      <c r="F545" t="s">
        <v>46</v>
      </c>
      <c r="G545" t="s">
        <v>2</v>
      </c>
      <c r="H545">
        <v>1</v>
      </c>
      <c r="I545" s="3">
        <v>29</v>
      </c>
      <c r="J545" s="4">
        <v>0</v>
      </c>
      <c r="K545" s="5">
        <v>29</v>
      </c>
      <c r="L545" t="s">
        <v>23</v>
      </c>
      <c r="M545">
        <v>4</v>
      </c>
    </row>
    <row r="546" spans="1:13">
      <c r="A546" t="s">
        <v>548</v>
      </c>
      <c r="B546" s="1">
        <v>45961</v>
      </c>
      <c r="C546" t="s">
        <v>34</v>
      </c>
      <c r="D546" t="s">
        <v>35</v>
      </c>
      <c r="E546" t="s">
        <v>16</v>
      </c>
      <c r="F546" t="s">
        <v>46</v>
      </c>
      <c r="G546" t="s">
        <v>2</v>
      </c>
      <c r="H546">
        <v>1</v>
      </c>
      <c r="I546" s="3">
        <v>29</v>
      </c>
      <c r="J546" s="4">
        <v>0</v>
      </c>
      <c r="K546" s="5">
        <v>29</v>
      </c>
      <c r="L546" t="s">
        <v>18</v>
      </c>
      <c r="M546">
        <v>4</v>
      </c>
    </row>
    <row r="547" spans="1:13">
      <c r="A547" t="s">
        <v>614</v>
      </c>
      <c r="B547" s="1">
        <v>45997</v>
      </c>
      <c r="C547" t="s">
        <v>57</v>
      </c>
      <c r="D547" t="s">
        <v>15</v>
      </c>
      <c r="E547" t="s">
        <v>16</v>
      </c>
      <c r="F547" t="s">
        <v>46</v>
      </c>
      <c r="G547" t="s">
        <v>2</v>
      </c>
      <c r="H547">
        <v>1</v>
      </c>
      <c r="I547" s="3">
        <v>29</v>
      </c>
      <c r="J547" s="4">
        <v>0</v>
      </c>
      <c r="K547" s="5">
        <v>29</v>
      </c>
      <c r="L547" t="s">
        <v>23</v>
      </c>
      <c r="M547">
        <v>4</v>
      </c>
    </row>
    <row r="548" spans="1:13">
      <c r="A548" t="s">
        <v>103</v>
      </c>
      <c r="B548" s="1">
        <v>45690</v>
      </c>
      <c r="C548" t="s">
        <v>57</v>
      </c>
      <c r="D548" t="s">
        <v>15</v>
      </c>
      <c r="E548" t="s">
        <v>16</v>
      </c>
      <c r="F548" t="s">
        <v>46</v>
      </c>
      <c r="G548" t="s">
        <v>2</v>
      </c>
      <c r="H548">
        <v>1</v>
      </c>
      <c r="I548" s="3">
        <v>29</v>
      </c>
      <c r="J548" s="4">
        <v>0.05</v>
      </c>
      <c r="K548" s="5">
        <v>27.55</v>
      </c>
      <c r="L548" t="s">
        <v>38</v>
      </c>
      <c r="M548">
        <v>4</v>
      </c>
    </row>
    <row r="549" spans="1:13">
      <c r="A549" t="s">
        <v>200</v>
      </c>
      <c r="B549" s="1">
        <v>45738</v>
      </c>
      <c r="C549" t="s">
        <v>31</v>
      </c>
      <c r="D549" t="s">
        <v>15</v>
      </c>
      <c r="E549" t="s">
        <v>16</v>
      </c>
      <c r="F549" t="s">
        <v>46</v>
      </c>
      <c r="G549" t="s">
        <v>2</v>
      </c>
      <c r="H549">
        <v>1</v>
      </c>
      <c r="I549" s="3">
        <v>29</v>
      </c>
      <c r="J549" s="4">
        <v>0.05</v>
      </c>
      <c r="K549" s="5">
        <v>27.55</v>
      </c>
      <c r="L549" t="s">
        <v>23</v>
      </c>
      <c r="M549">
        <v>3</v>
      </c>
    </row>
    <row r="550" spans="1:13">
      <c r="A550" t="s">
        <v>362</v>
      </c>
      <c r="B550" s="1">
        <v>45843</v>
      </c>
      <c r="C550" t="s">
        <v>57</v>
      </c>
      <c r="D550" t="s">
        <v>15</v>
      </c>
      <c r="E550" t="s">
        <v>16</v>
      </c>
      <c r="F550" t="s">
        <v>46</v>
      </c>
      <c r="G550" t="s">
        <v>2</v>
      </c>
      <c r="H550">
        <v>1</v>
      </c>
      <c r="I550" s="3">
        <v>29</v>
      </c>
      <c r="J550" s="4">
        <v>0.05</v>
      </c>
      <c r="K550" s="5">
        <v>27.55</v>
      </c>
      <c r="L550" t="s">
        <v>18</v>
      </c>
      <c r="M550">
        <v>4</v>
      </c>
    </row>
    <row r="551" spans="1:13">
      <c r="A551" t="s">
        <v>509</v>
      </c>
      <c r="B551" s="1">
        <v>45938</v>
      </c>
      <c r="C551" t="s">
        <v>44</v>
      </c>
      <c r="D551" t="s">
        <v>45</v>
      </c>
      <c r="E551" t="s">
        <v>16</v>
      </c>
      <c r="F551" t="s">
        <v>46</v>
      </c>
      <c r="G551" t="s">
        <v>2</v>
      </c>
      <c r="H551">
        <v>1</v>
      </c>
      <c r="I551" s="3">
        <v>29</v>
      </c>
      <c r="J551" s="4">
        <v>0.05</v>
      </c>
      <c r="K551" s="5">
        <v>27.55</v>
      </c>
      <c r="L551" t="s">
        <v>51</v>
      </c>
      <c r="M551">
        <v>3</v>
      </c>
    </row>
    <row r="552" spans="1:13">
      <c r="A552" t="s">
        <v>609</v>
      </c>
      <c r="B552" s="1">
        <v>45994</v>
      </c>
      <c r="C552" t="s">
        <v>54</v>
      </c>
      <c r="D552" t="s">
        <v>35</v>
      </c>
      <c r="E552" t="s">
        <v>16</v>
      </c>
      <c r="F552" t="s">
        <v>46</v>
      </c>
      <c r="G552" t="s">
        <v>2</v>
      </c>
      <c r="H552">
        <v>1</v>
      </c>
      <c r="I552" s="3">
        <v>29</v>
      </c>
      <c r="J552" s="4">
        <v>0.05</v>
      </c>
      <c r="K552" s="5">
        <v>27.55</v>
      </c>
      <c r="L552" t="s">
        <v>23</v>
      </c>
      <c r="M552">
        <v>3</v>
      </c>
    </row>
    <row r="553" spans="1:13">
      <c r="A553" t="s">
        <v>657</v>
      </c>
      <c r="B553" s="1">
        <v>46021</v>
      </c>
      <c r="C553" t="s">
        <v>44</v>
      </c>
      <c r="D553" t="s">
        <v>45</v>
      </c>
      <c r="E553" t="s">
        <v>16</v>
      </c>
      <c r="F553" t="s">
        <v>46</v>
      </c>
      <c r="G553" t="s">
        <v>2</v>
      </c>
      <c r="H553">
        <v>1</v>
      </c>
      <c r="I553" s="3">
        <v>29</v>
      </c>
      <c r="J553" s="4">
        <v>0.05</v>
      </c>
      <c r="K553" s="5">
        <v>27.55</v>
      </c>
      <c r="L553" t="s">
        <v>18</v>
      </c>
      <c r="M553">
        <v>3</v>
      </c>
    </row>
    <row r="554" spans="1:13">
      <c r="A554" t="s">
        <v>58</v>
      </c>
      <c r="B554" s="1">
        <v>45667</v>
      </c>
      <c r="C554" t="s">
        <v>25</v>
      </c>
      <c r="D554" t="s">
        <v>15</v>
      </c>
      <c r="E554" t="s">
        <v>16</v>
      </c>
      <c r="F554" t="s">
        <v>46</v>
      </c>
      <c r="G554" t="s">
        <v>2</v>
      </c>
      <c r="H554">
        <v>1</v>
      </c>
      <c r="I554" s="3">
        <v>29</v>
      </c>
      <c r="J554" s="4">
        <v>0.1</v>
      </c>
      <c r="K554" s="5">
        <v>26.1</v>
      </c>
      <c r="L554" t="s">
        <v>23</v>
      </c>
      <c r="M554">
        <v>4</v>
      </c>
    </row>
    <row r="555" spans="1:13">
      <c r="A555" t="s">
        <v>185</v>
      </c>
      <c r="B555" s="1">
        <v>45726</v>
      </c>
      <c r="C555" t="s">
        <v>40</v>
      </c>
      <c r="D555" t="s">
        <v>41</v>
      </c>
      <c r="E555" t="s">
        <v>16</v>
      </c>
      <c r="F555" t="s">
        <v>46</v>
      </c>
      <c r="G555" t="s">
        <v>2</v>
      </c>
      <c r="H555">
        <v>1</v>
      </c>
      <c r="I555" s="3">
        <v>29</v>
      </c>
      <c r="J555" s="4">
        <v>0.1</v>
      </c>
      <c r="K555" s="5">
        <v>26.1</v>
      </c>
      <c r="L555" t="s">
        <v>38</v>
      </c>
      <c r="M555">
        <v>5</v>
      </c>
    </row>
    <row r="556" spans="1:13">
      <c r="A556" t="s">
        <v>213</v>
      </c>
      <c r="B556" s="1">
        <v>45745</v>
      </c>
      <c r="C556" t="s">
        <v>31</v>
      </c>
      <c r="D556" t="s">
        <v>15</v>
      </c>
      <c r="E556" t="s">
        <v>16</v>
      </c>
      <c r="F556" t="s">
        <v>46</v>
      </c>
      <c r="G556" t="s">
        <v>2</v>
      </c>
      <c r="H556">
        <v>1</v>
      </c>
      <c r="I556" s="3">
        <v>29</v>
      </c>
      <c r="J556" s="4">
        <v>0.1</v>
      </c>
      <c r="K556" s="5">
        <v>26.1</v>
      </c>
      <c r="L556" t="s">
        <v>51</v>
      </c>
      <c r="M556">
        <v>5</v>
      </c>
    </row>
    <row r="557" spans="1:13">
      <c r="A557" t="s">
        <v>322</v>
      </c>
      <c r="B557" s="1">
        <v>45817</v>
      </c>
      <c r="C557" t="s">
        <v>57</v>
      </c>
      <c r="D557" t="s">
        <v>15</v>
      </c>
      <c r="E557" t="s">
        <v>16</v>
      </c>
      <c r="F557" t="s">
        <v>46</v>
      </c>
      <c r="G557" t="s">
        <v>2</v>
      </c>
      <c r="H557">
        <v>1</v>
      </c>
      <c r="I557" s="3">
        <v>29</v>
      </c>
      <c r="J557" s="4">
        <v>0.1</v>
      </c>
      <c r="K557" s="5">
        <v>26.1</v>
      </c>
      <c r="L557" t="s">
        <v>23</v>
      </c>
      <c r="M557">
        <v>5</v>
      </c>
    </row>
    <row r="558" spans="1:13">
      <c r="A558" t="s">
        <v>424</v>
      </c>
      <c r="B558" s="1">
        <v>45892</v>
      </c>
      <c r="C558" t="s">
        <v>34</v>
      </c>
      <c r="D558" t="s">
        <v>35</v>
      </c>
      <c r="E558" t="s">
        <v>16</v>
      </c>
      <c r="F558" t="s">
        <v>46</v>
      </c>
      <c r="G558" t="s">
        <v>2</v>
      </c>
      <c r="H558">
        <v>1</v>
      </c>
      <c r="I558" s="3">
        <v>29</v>
      </c>
      <c r="J558" s="4">
        <v>0.1</v>
      </c>
      <c r="K558" s="5">
        <v>26.1</v>
      </c>
      <c r="L558" t="s">
        <v>51</v>
      </c>
      <c r="M558">
        <v>5</v>
      </c>
    </row>
    <row r="559" spans="1:13">
      <c r="A559" t="s">
        <v>426</v>
      </c>
      <c r="B559" s="1">
        <v>45893</v>
      </c>
      <c r="C559" t="s">
        <v>25</v>
      </c>
      <c r="D559" t="s">
        <v>15</v>
      </c>
      <c r="E559" t="s">
        <v>16</v>
      </c>
      <c r="F559" t="s">
        <v>46</v>
      </c>
      <c r="G559" t="s">
        <v>2</v>
      </c>
      <c r="H559">
        <v>1</v>
      </c>
      <c r="I559" s="3">
        <v>29</v>
      </c>
      <c r="J559" s="4">
        <v>0.1</v>
      </c>
      <c r="K559" s="5">
        <v>26.1</v>
      </c>
      <c r="L559" t="s">
        <v>18</v>
      </c>
      <c r="M559">
        <v>3</v>
      </c>
    </row>
    <row r="560" spans="1:13">
      <c r="A560" t="s">
        <v>608</v>
      </c>
      <c r="B560" s="1">
        <v>45994</v>
      </c>
      <c r="C560" t="s">
        <v>57</v>
      </c>
      <c r="D560" t="s">
        <v>15</v>
      </c>
      <c r="E560" t="s">
        <v>16</v>
      </c>
      <c r="F560" t="s">
        <v>46</v>
      </c>
      <c r="G560" t="s">
        <v>2</v>
      </c>
      <c r="H560">
        <v>1</v>
      </c>
      <c r="I560" s="3">
        <v>29</v>
      </c>
      <c r="J560" s="4">
        <v>0.1</v>
      </c>
      <c r="K560" s="5">
        <v>26.1</v>
      </c>
      <c r="L560" t="s">
        <v>23</v>
      </c>
      <c r="M560">
        <v>5</v>
      </c>
    </row>
    <row r="561" spans="1:13">
      <c r="A561" t="s">
        <v>416</v>
      </c>
      <c r="B561" s="1">
        <v>45887</v>
      </c>
      <c r="C561" t="s">
        <v>31</v>
      </c>
      <c r="D561" t="s">
        <v>15</v>
      </c>
      <c r="E561" t="s">
        <v>16</v>
      </c>
      <c r="F561" t="s">
        <v>46</v>
      </c>
      <c r="G561" t="s">
        <v>2</v>
      </c>
      <c r="H561">
        <v>1</v>
      </c>
      <c r="I561" s="3">
        <v>29</v>
      </c>
      <c r="J561" s="4">
        <v>0.15</v>
      </c>
      <c r="K561" s="5">
        <v>24.65</v>
      </c>
      <c r="L561" t="s">
        <v>51</v>
      </c>
      <c r="M561">
        <v>4</v>
      </c>
    </row>
    <row r="562" spans="1:13">
      <c r="A562" t="s">
        <v>567</v>
      </c>
      <c r="B562" s="1">
        <v>45970</v>
      </c>
      <c r="C562" t="s">
        <v>44</v>
      </c>
      <c r="D562" t="s">
        <v>45</v>
      </c>
      <c r="E562" t="s">
        <v>16</v>
      </c>
      <c r="F562" t="s">
        <v>46</v>
      </c>
      <c r="G562" t="s">
        <v>2</v>
      </c>
      <c r="H562">
        <v>1</v>
      </c>
      <c r="I562" s="3">
        <v>29</v>
      </c>
      <c r="J562" s="4">
        <v>0.15</v>
      </c>
      <c r="K562" s="5">
        <v>24.65</v>
      </c>
      <c r="L562" t="s">
        <v>23</v>
      </c>
      <c r="M562">
        <v>4</v>
      </c>
    </row>
    <row r="563" spans="1:13">
      <c r="A563" t="s">
        <v>114</v>
      </c>
      <c r="B563" s="1">
        <v>45693</v>
      </c>
      <c r="C563" t="s">
        <v>34</v>
      </c>
      <c r="D563" t="s">
        <v>35</v>
      </c>
      <c r="E563" t="s">
        <v>16</v>
      </c>
      <c r="F563" t="s">
        <v>46</v>
      </c>
      <c r="G563" t="s">
        <v>2</v>
      </c>
      <c r="H563">
        <v>1</v>
      </c>
      <c r="I563" s="3">
        <v>29</v>
      </c>
      <c r="J563" s="4">
        <v>0.2</v>
      </c>
      <c r="K563" s="5">
        <v>23.2</v>
      </c>
      <c r="L563" t="s">
        <v>23</v>
      </c>
      <c r="M563">
        <v>5</v>
      </c>
    </row>
    <row r="564" spans="1:13">
      <c r="A564" t="s">
        <v>174</v>
      </c>
      <c r="B564" s="1">
        <v>45723</v>
      </c>
      <c r="C564" t="s">
        <v>40</v>
      </c>
      <c r="D564" t="s">
        <v>41</v>
      </c>
      <c r="E564" t="s">
        <v>16</v>
      </c>
      <c r="F564" t="s">
        <v>46</v>
      </c>
      <c r="G564" t="s">
        <v>2</v>
      </c>
      <c r="H564">
        <v>1</v>
      </c>
      <c r="I564" s="3">
        <v>29</v>
      </c>
      <c r="J564" s="4">
        <v>0.2</v>
      </c>
      <c r="K564" s="5">
        <v>23.2</v>
      </c>
      <c r="L564" t="s">
        <v>51</v>
      </c>
      <c r="M564">
        <v>5</v>
      </c>
    </row>
    <row r="565" spans="1:13">
      <c r="A565" t="s">
        <v>251</v>
      </c>
      <c r="B565" s="1">
        <v>45775</v>
      </c>
      <c r="C565" t="s">
        <v>40</v>
      </c>
      <c r="D565" t="s">
        <v>41</v>
      </c>
      <c r="E565" t="s">
        <v>16</v>
      </c>
      <c r="F565" t="s">
        <v>46</v>
      </c>
      <c r="G565" t="s">
        <v>2</v>
      </c>
      <c r="H565">
        <v>1</v>
      </c>
      <c r="I565" s="3">
        <v>29</v>
      </c>
      <c r="J565" s="4">
        <v>0.2</v>
      </c>
      <c r="K565" s="5">
        <v>23.2</v>
      </c>
      <c r="L565" t="s">
        <v>51</v>
      </c>
      <c r="M565">
        <v>5</v>
      </c>
    </row>
    <row r="566" spans="1:13">
      <c r="A566" t="s">
        <v>392</v>
      </c>
      <c r="B566" s="1">
        <v>45865</v>
      </c>
      <c r="C566" t="s">
        <v>44</v>
      </c>
      <c r="D566" t="s">
        <v>45</v>
      </c>
      <c r="E566" t="s">
        <v>16</v>
      </c>
      <c r="F566" t="s">
        <v>46</v>
      </c>
      <c r="G566" t="s">
        <v>2</v>
      </c>
      <c r="H566">
        <v>1</v>
      </c>
      <c r="I566" s="3">
        <v>29</v>
      </c>
      <c r="J566" s="4">
        <v>0.2</v>
      </c>
      <c r="K566" s="5">
        <v>23.2</v>
      </c>
      <c r="L566" t="s">
        <v>23</v>
      </c>
      <c r="M566">
        <v>5</v>
      </c>
    </row>
    <row r="567" spans="1:13">
      <c r="A567" t="s">
        <v>437</v>
      </c>
      <c r="B567" s="1">
        <v>45901</v>
      </c>
      <c r="C567" t="s">
        <v>14</v>
      </c>
      <c r="D567" t="s">
        <v>15</v>
      </c>
      <c r="E567" t="s">
        <v>16</v>
      </c>
      <c r="F567" t="s">
        <v>46</v>
      </c>
      <c r="G567" t="s">
        <v>2</v>
      </c>
      <c r="H567">
        <v>1</v>
      </c>
      <c r="I567" s="3">
        <v>29</v>
      </c>
      <c r="J567" s="4">
        <v>0.2</v>
      </c>
      <c r="K567" s="5">
        <v>23.2</v>
      </c>
      <c r="L567" t="s">
        <v>23</v>
      </c>
      <c r="M567">
        <v>4</v>
      </c>
    </row>
    <row r="568" spans="1:13">
      <c r="A568" t="s">
        <v>447</v>
      </c>
      <c r="B568" s="1">
        <v>45907</v>
      </c>
      <c r="C568" t="s">
        <v>57</v>
      </c>
      <c r="D568" t="s">
        <v>15</v>
      </c>
      <c r="E568" t="s">
        <v>16</v>
      </c>
      <c r="F568" t="s">
        <v>46</v>
      </c>
      <c r="G568" t="s">
        <v>2</v>
      </c>
      <c r="H568">
        <v>1</v>
      </c>
      <c r="I568" s="3">
        <v>29</v>
      </c>
      <c r="J568" s="4">
        <v>0.2</v>
      </c>
      <c r="K568" s="5">
        <v>23.2</v>
      </c>
      <c r="L568" t="s">
        <v>18</v>
      </c>
      <c r="M568">
        <v>4</v>
      </c>
    </row>
    <row r="569" spans="1:13">
      <c r="A569" t="s">
        <v>527</v>
      </c>
      <c r="B569" s="1">
        <v>45948</v>
      </c>
      <c r="C569" t="s">
        <v>14</v>
      </c>
      <c r="D569" t="s">
        <v>15</v>
      </c>
      <c r="E569" t="s">
        <v>16</v>
      </c>
      <c r="F569" t="s">
        <v>46</v>
      </c>
      <c r="G569" t="s">
        <v>2</v>
      </c>
      <c r="H569">
        <v>1</v>
      </c>
      <c r="I569" s="3">
        <v>29</v>
      </c>
      <c r="J569" s="4">
        <v>0.2</v>
      </c>
      <c r="K569" s="5">
        <v>23.2</v>
      </c>
      <c r="L569" t="s">
        <v>51</v>
      </c>
      <c r="M569">
        <v>4</v>
      </c>
    </row>
    <row r="570" spans="1:13">
      <c r="A570" t="s">
        <v>570</v>
      </c>
      <c r="B570" s="1">
        <v>45971</v>
      </c>
      <c r="C570" t="s">
        <v>40</v>
      </c>
      <c r="D570" t="s">
        <v>41</v>
      </c>
      <c r="E570" t="s">
        <v>16</v>
      </c>
      <c r="F570" t="s">
        <v>46</v>
      </c>
      <c r="G570" t="s">
        <v>2</v>
      </c>
      <c r="H570">
        <v>1</v>
      </c>
      <c r="I570" s="3">
        <v>29</v>
      </c>
      <c r="J570" s="4">
        <v>0.2</v>
      </c>
      <c r="K570" s="5">
        <v>23.2</v>
      </c>
      <c r="L570" t="s">
        <v>38</v>
      </c>
      <c r="M570">
        <v>4</v>
      </c>
    </row>
    <row r="571" spans="1:13">
      <c r="A571" t="s">
        <v>71</v>
      </c>
      <c r="B571" s="1">
        <v>45671</v>
      </c>
      <c r="C571" t="s">
        <v>34</v>
      </c>
      <c r="D571" t="s">
        <v>35</v>
      </c>
      <c r="E571" t="s">
        <v>16</v>
      </c>
      <c r="F571" t="s">
        <v>17</v>
      </c>
      <c r="G571" t="s">
        <v>2</v>
      </c>
      <c r="H571">
        <v>1</v>
      </c>
      <c r="I571" s="3">
        <v>19</v>
      </c>
      <c r="J571" s="4">
        <v>0</v>
      </c>
      <c r="K571" s="5">
        <v>19</v>
      </c>
      <c r="L571" t="s">
        <v>23</v>
      </c>
      <c r="M571">
        <v>5</v>
      </c>
    </row>
    <row r="572" spans="1:13">
      <c r="A572" t="s">
        <v>115</v>
      </c>
      <c r="B572" s="1">
        <v>45693</v>
      </c>
      <c r="C572" t="s">
        <v>40</v>
      </c>
      <c r="D572" t="s">
        <v>41</v>
      </c>
      <c r="E572" t="s">
        <v>16</v>
      </c>
      <c r="F572" t="s">
        <v>17</v>
      </c>
      <c r="G572" t="s">
        <v>2</v>
      </c>
      <c r="H572">
        <v>1</v>
      </c>
      <c r="I572" s="3">
        <v>19</v>
      </c>
      <c r="J572" s="4">
        <v>0</v>
      </c>
      <c r="K572" s="5">
        <v>19</v>
      </c>
      <c r="L572" t="s">
        <v>23</v>
      </c>
      <c r="M572">
        <v>4</v>
      </c>
    </row>
    <row r="573" spans="1:13">
      <c r="A573" t="s">
        <v>173</v>
      </c>
      <c r="B573" s="1">
        <v>45723</v>
      </c>
      <c r="C573" t="s">
        <v>14</v>
      </c>
      <c r="D573" t="s">
        <v>15</v>
      </c>
      <c r="E573" t="s">
        <v>16</v>
      </c>
      <c r="F573" t="s">
        <v>17</v>
      </c>
      <c r="G573" t="s">
        <v>2</v>
      </c>
      <c r="H573">
        <v>1</v>
      </c>
      <c r="I573" s="3">
        <v>19</v>
      </c>
      <c r="J573" s="4">
        <v>0</v>
      </c>
      <c r="K573" s="5">
        <v>19</v>
      </c>
      <c r="L573" t="s">
        <v>23</v>
      </c>
      <c r="M573">
        <v>5</v>
      </c>
    </row>
    <row r="574" spans="1:13">
      <c r="A574" t="s">
        <v>203</v>
      </c>
      <c r="B574" s="1">
        <v>45741</v>
      </c>
      <c r="C574" t="s">
        <v>14</v>
      </c>
      <c r="D574" t="s">
        <v>15</v>
      </c>
      <c r="E574" t="s">
        <v>16</v>
      </c>
      <c r="F574" t="s">
        <v>17</v>
      </c>
      <c r="G574" t="s">
        <v>2</v>
      </c>
      <c r="H574">
        <v>1</v>
      </c>
      <c r="I574" s="3">
        <v>19</v>
      </c>
      <c r="J574" s="4">
        <v>0</v>
      </c>
      <c r="K574" s="5">
        <v>19</v>
      </c>
      <c r="L574" t="s">
        <v>23</v>
      </c>
      <c r="M574">
        <v>5</v>
      </c>
    </row>
    <row r="575" spans="1:13">
      <c r="A575" t="s">
        <v>232</v>
      </c>
      <c r="B575" s="1">
        <v>45761</v>
      </c>
      <c r="C575" t="s">
        <v>31</v>
      </c>
      <c r="D575" t="s">
        <v>15</v>
      </c>
      <c r="E575" t="s">
        <v>16</v>
      </c>
      <c r="F575" t="s">
        <v>17</v>
      </c>
      <c r="G575" t="s">
        <v>2</v>
      </c>
      <c r="H575">
        <v>1</v>
      </c>
      <c r="I575" s="3">
        <v>19</v>
      </c>
      <c r="J575" s="4">
        <v>0</v>
      </c>
      <c r="K575" s="5">
        <v>19</v>
      </c>
      <c r="L575" t="s">
        <v>23</v>
      </c>
      <c r="M575">
        <v>3</v>
      </c>
    </row>
    <row r="576" spans="1:13">
      <c r="A576" t="s">
        <v>233</v>
      </c>
      <c r="B576" s="1">
        <v>45764</v>
      </c>
      <c r="C576" t="s">
        <v>44</v>
      </c>
      <c r="D576" t="s">
        <v>45</v>
      </c>
      <c r="E576" t="s">
        <v>16</v>
      </c>
      <c r="F576" t="s">
        <v>17</v>
      </c>
      <c r="G576" t="s">
        <v>2</v>
      </c>
      <c r="H576">
        <v>1</v>
      </c>
      <c r="I576" s="3">
        <v>19</v>
      </c>
      <c r="J576" s="4">
        <v>0</v>
      </c>
      <c r="K576" s="5">
        <v>19</v>
      </c>
      <c r="L576" t="s">
        <v>23</v>
      </c>
      <c r="M576">
        <v>4</v>
      </c>
    </row>
    <row r="577" spans="1:13">
      <c r="A577" t="s">
        <v>240</v>
      </c>
      <c r="B577" s="1">
        <v>45766</v>
      </c>
      <c r="C577" t="s">
        <v>14</v>
      </c>
      <c r="D577" t="s">
        <v>15</v>
      </c>
      <c r="E577" t="s">
        <v>16</v>
      </c>
      <c r="F577" t="s">
        <v>17</v>
      </c>
      <c r="G577" t="s">
        <v>2</v>
      </c>
      <c r="H577">
        <v>1</v>
      </c>
      <c r="I577" s="3">
        <v>19</v>
      </c>
      <c r="J577" s="4">
        <v>0</v>
      </c>
      <c r="K577" s="5">
        <v>19</v>
      </c>
      <c r="L577" t="s">
        <v>51</v>
      </c>
    </row>
    <row r="578" spans="1:13">
      <c r="A578" t="s">
        <v>246</v>
      </c>
      <c r="B578" s="1">
        <v>45770</v>
      </c>
      <c r="C578" t="s">
        <v>57</v>
      </c>
      <c r="D578" t="s">
        <v>15</v>
      </c>
      <c r="E578" t="s">
        <v>16</v>
      </c>
      <c r="F578" t="s">
        <v>17</v>
      </c>
      <c r="G578" t="s">
        <v>2</v>
      </c>
      <c r="H578">
        <v>1</v>
      </c>
      <c r="I578" s="3">
        <v>19</v>
      </c>
      <c r="J578" s="4">
        <v>0</v>
      </c>
      <c r="K578" s="5">
        <v>19</v>
      </c>
      <c r="L578" t="s">
        <v>51</v>
      </c>
      <c r="M578">
        <v>4</v>
      </c>
    </row>
    <row r="579" spans="1:13">
      <c r="A579" t="s">
        <v>247</v>
      </c>
      <c r="B579" s="1">
        <v>45771</v>
      </c>
      <c r="C579" t="s">
        <v>34</v>
      </c>
      <c r="D579" t="s">
        <v>35</v>
      </c>
      <c r="E579" t="s">
        <v>16</v>
      </c>
      <c r="F579" t="s">
        <v>17</v>
      </c>
      <c r="G579" t="s">
        <v>2</v>
      </c>
      <c r="H579">
        <v>1</v>
      </c>
      <c r="I579" s="3">
        <v>19</v>
      </c>
      <c r="J579" s="4">
        <v>0</v>
      </c>
      <c r="K579" s="5">
        <v>19</v>
      </c>
      <c r="L579" t="s">
        <v>51</v>
      </c>
      <c r="M579">
        <v>5</v>
      </c>
    </row>
    <row r="580" spans="1:13">
      <c r="A580" t="s">
        <v>293</v>
      </c>
      <c r="B580" s="1">
        <v>45801</v>
      </c>
      <c r="C580" t="s">
        <v>57</v>
      </c>
      <c r="D580" t="s">
        <v>15</v>
      </c>
      <c r="E580" t="s">
        <v>16</v>
      </c>
      <c r="F580" t="s">
        <v>17</v>
      </c>
      <c r="G580" t="s">
        <v>2</v>
      </c>
      <c r="H580">
        <v>1</v>
      </c>
      <c r="I580" s="3">
        <v>19</v>
      </c>
      <c r="J580" s="4">
        <v>0</v>
      </c>
      <c r="K580" s="5">
        <v>19</v>
      </c>
      <c r="L580" t="s">
        <v>18</v>
      </c>
      <c r="M580">
        <v>4</v>
      </c>
    </row>
    <row r="581" spans="1:13">
      <c r="A581" t="s">
        <v>330</v>
      </c>
      <c r="B581" s="1">
        <v>45822</v>
      </c>
      <c r="C581" t="s">
        <v>31</v>
      </c>
      <c r="D581" t="s">
        <v>15</v>
      </c>
      <c r="E581" t="s">
        <v>16</v>
      </c>
      <c r="F581" t="s">
        <v>17</v>
      </c>
      <c r="G581" t="s">
        <v>2</v>
      </c>
      <c r="H581">
        <v>1</v>
      </c>
      <c r="I581" s="3">
        <v>19</v>
      </c>
      <c r="J581" s="4">
        <v>0</v>
      </c>
      <c r="K581" s="5">
        <v>19</v>
      </c>
      <c r="L581" t="s">
        <v>38</v>
      </c>
      <c r="M581">
        <v>4</v>
      </c>
    </row>
    <row r="582" spans="1:13">
      <c r="A582" t="s">
        <v>367</v>
      </c>
      <c r="B582" s="1">
        <v>45845</v>
      </c>
      <c r="C582" t="s">
        <v>34</v>
      </c>
      <c r="D582" t="s">
        <v>35</v>
      </c>
      <c r="E582" t="s">
        <v>16</v>
      </c>
      <c r="F582" t="s">
        <v>17</v>
      </c>
      <c r="G582" t="s">
        <v>2</v>
      </c>
      <c r="H582">
        <v>1</v>
      </c>
      <c r="I582" s="3">
        <v>19</v>
      </c>
      <c r="J582" s="4">
        <v>0</v>
      </c>
      <c r="K582" s="5">
        <v>19</v>
      </c>
      <c r="L582" t="s">
        <v>23</v>
      </c>
      <c r="M582">
        <v>5</v>
      </c>
    </row>
    <row r="583" spans="1:13">
      <c r="A583" t="s">
        <v>373</v>
      </c>
      <c r="B583" s="1">
        <v>45852</v>
      </c>
      <c r="C583" t="s">
        <v>54</v>
      </c>
      <c r="D583" t="s">
        <v>35</v>
      </c>
      <c r="E583" t="s">
        <v>16</v>
      </c>
      <c r="F583" t="s">
        <v>17</v>
      </c>
      <c r="G583" t="s">
        <v>2</v>
      </c>
      <c r="H583">
        <v>1</v>
      </c>
      <c r="I583" s="3">
        <v>19</v>
      </c>
      <c r="J583" s="4">
        <v>0</v>
      </c>
      <c r="K583" s="5">
        <v>19</v>
      </c>
      <c r="L583" t="s">
        <v>23</v>
      </c>
    </row>
    <row r="584" spans="1:13">
      <c r="A584" t="s">
        <v>381</v>
      </c>
      <c r="B584" s="1">
        <v>45857</v>
      </c>
      <c r="C584" t="s">
        <v>44</v>
      </c>
      <c r="D584" t="s">
        <v>45</v>
      </c>
      <c r="E584" t="s">
        <v>16</v>
      </c>
      <c r="F584" t="s">
        <v>17</v>
      </c>
      <c r="G584" t="s">
        <v>2</v>
      </c>
      <c r="H584">
        <v>1</v>
      </c>
      <c r="I584" s="3">
        <v>19</v>
      </c>
      <c r="J584" s="4">
        <v>0</v>
      </c>
      <c r="K584" s="5">
        <v>19</v>
      </c>
      <c r="L584" t="s">
        <v>38</v>
      </c>
      <c r="M584">
        <v>5</v>
      </c>
    </row>
    <row r="585" spans="1:13">
      <c r="A585" t="s">
        <v>428</v>
      </c>
      <c r="B585" s="1">
        <v>45896</v>
      </c>
      <c r="C585" t="s">
        <v>25</v>
      </c>
      <c r="D585" t="s">
        <v>15</v>
      </c>
      <c r="E585" t="s">
        <v>16</v>
      </c>
      <c r="F585" t="s">
        <v>17</v>
      </c>
      <c r="G585" t="s">
        <v>2</v>
      </c>
      <c r="H585">
        <v>1</v>
      </c>
      <c r="I585" s="3">
        <v>19</v>
      </c>
      <c r="J585" s="4">
        <v>0</v>
      </c>
      <c r="K585" s="5">
        <v>19</v>
      </c>
      <c r="L585" t="s">
        <v>51</v>
      </c>
      <c r="M585">
        <v>5</v>
      </c>
    </row>
    <row r="586" spans="1:13">
      <c r="A586" t="s">
        <v>439</v>
      </c>
      <c r="B586" s="1">
        <v>45902</v>
      </c>
      <c r="C586" t="s">
        <v>44</v>
      </c>
      <c r="D586" t="s">
        <v>45</v>
      </c>
      <c r="E586" t="s">
        <v>16</v>
      </c>
      <c r="F586" t="s">
        <v>17</v>
      </c>
      <c r="G586" t="s">
        <v>2</v>
      </c>
      <c r="H586">
        <v>1</v>
      </c>
      <c r="I586" s="3">
        <v>19</v>
      </c>
      <c r="J586" s="4">
        <v>0</v>
      </c>
      <c r="K586" s="5">
        <v>19</v>
      </c>
      <c r="L586" t="s">
        <v>23</v>
      </c>
      <c r="M586">
        <v>4</v>
      </c>
    </row>
    <row r="587" spans="1:13">
      <c r="A587" t="s">
        <v>468</v>
      </c>
      <c r="B587" s="1">
        <v>45917</v>
      </c>
      <c r="C587" t="s">
        <v>57</v>
      </c>
      <c r="D587" t="s">
        <v>15</v>
      </c>
      <c r="E587" t="s">
        <v>16</v>
      </c>
      <c r="F587" t="s">
        <v>17</v>
      </c>
      <c r="G587" t="s">
        <v>2</v>
      </c>
      <c r="H587">
        <v>1</v>
      </c>
      <c r="I587" s="3">
        <v>19</v>
      </c>
      <c r="J587" s="4">
        <v>0</v>
      </c>
      <c r="K587" s="5">
        <v>19</v>
      </c>
      <c r="L587" t="s">
        <v>38</v>
      </c>
      <c r="M587">
        <v>4</v>
      </c>
    </row>
    <row r="588" spans="1:13">
      <c r="A588" t="s">
        <v>475</v>
      </c>
      <c r="B588" s="1">
        <v>45922</v>
      </c>
      <c r="C588" t="s">
        <v>54</v>
      </c>
      <c r="D588" t="s">
        <v>35</v>
      </c>
      <c r="E588" t="s">
        <v>16</v>
      </c>
      <c r="F588" t="s">
        <v>17</v>
      </c>
      <c r="G588" t="s">
        <v>2</v>
      </c>
      <c r="H588">
        <v>1</v>
      </c>
      <c r="I588" s="3">
        <v>19</v>
      </c>
      <c r="J588" s="4">
        <v>0</v>
      </c>
      <c r="K588" s="5">
        <v>19</v>
      </c>
      <c r="L588" t="s">
        <v>23</v>
      </c>
      <c r="M588">
        <v>3</v>
      </c>
    </row>
    <row r="589" spans="1:13">
      <c r="A589" t="s">
        <v>480</v>
      </c>
      <c r="B589" s="1">
        <v>45925</v>
      </c>
      <c r="C589" t="s">
        <v>14</v>
      </c>
      <c r="D589" t="s">
        <v>15</v>
      </c>
      <c r="E589" t="s">
        <v>16</v>
      </c>
      <c r="F589" t="s">
        <v>17</v>
      </c>
      <c r="G589" t="s">
        <v>2</v>
      </c>
      <c r="H589">
        <v>1</v>
      </c>
      <c r="I589" s="3">
        <v>19</v>
      </c>
      <c r="J589" s="4">
        <v>0</v>
      </c>
      <c r="K589" s="5">
        <v>19</v>
      </c>
      <c r="L589" t="s">
        <v>23</v>
      </c>
      <c r="M589">
        <v>4</v>
      </c>
    </row>
    <row r="590" spans="1:13">
      <c r="A590" t="s">
        <v>495</v>
      </c>
      <c r="B590" s="1">
        <v>45930</v>
      </c>
      <c r="C590" t="s">
        <v>40</v>
      </c>
      <c r="D590" t="s">
        <v>41</v>
      </c>
      <c r="E590" t="s">
        <v>16</v>
      </c>
      <c r="F590" t="s">
        <v>17</v>
      </c>
      <c r="G590" t="s">
        <v>2</v>
      </c>
      <c r="H590">
        <v>1</v>
      </c>
      <c r="I590" s="3">
        <v>19</v>
      </c>
      <c r="J590" s="4">
        <v>0</v>
      </c>
      <c r="K590" s="5">
        <v>19</v>
      </c>
      <c r="L590" t="s">
        <v>23</v>
      </c>
      <c r="M590">
        <v>4</v>
      </c>
    </row>
    <row r="591" spans="1:13">
      <c r="A591" t="s">
        <v>519</v>
      </c>
      <c r="B591" s="1">
        <v>45941</v>
      </c>
      <c r="C591" t="s">
        <v>34</v>
      </c>
      <c r="D591" t="s">
        <v>35</v>
      </c>
      <c r="E591" t="s">
        <v>16</v>
      </c>
      <c r="F591" t="s">
        <v>17</v>
      </c>
      <c r="G591" t="s">
        <v>2</v>
      </c>
      <c r="H591">
        <v>1</v>
      </c>
      <c r="I591" s="3">
        <v>19</v>
      </c>
      <c r="J591" s="4">
        <v>0</v>
      </c>
      <c r="K591" s="5">
        <v>19</v>
      </c>
      <c r="L591" t="s">
        <v>38</v>
      </c>
      <c r="M591">
        <v>5</v>
      </c>
    </row>
    <row r="592" spans="1:13">
      <c r="A592" t="s">
        <v>549</v>
      </c>
      <c r="B592" s="1">
        <v>45962</v>
      </c>
      <c r="C592" t="s">
        <v>34</v>
      </c>
      <c r="D592" t="s">
        <v>35</v>
      </c>
      <c r="E592" t="s">
        <v>16</v>
      </c>
      <c r="F592" t="s">
        <v>17</v>
      </c>
      <c r="G592" t="s">
        <v>2</v>
      </c>
      <c r="H592">
        <v>1</v>
      </c>
      <c r="I592" s="3">
        <v>19</v>
      </c>
      <c r="J592" s="4">
        <v>0</v>
      </c>
      <c r="K592" s="5">
        <v>19</v>
      </c>
      <c r="L592" t="s">
        <v>23</v>
      </c>
      <c r="M592">
        <v>4</v>
      </c>
    </row>
    <row r="593" spans="1:13">
      <c r="A593" t="s">
        <v>552</v>
      </c>
      <c r="B593" s="1">
        <v>45963</v>
      </c>
      <c r="C593" t="s">
        <v>14</v>
      </c>
      <c r="D593" t="s">
        <v>15</v>
      </c>
      <c r="E593" t="s">
        <v>16</v>
      </c>
      <c r="F593" t="s">
        <v>17</v>
      </c>
      <c r="G593" t="s">
        <v>2</v>
      </c>
      <c r="H593">
        <v>1</v>
      </c>
      <c r="I593" s="3">
        <v>19</v>
      </c>
      <c r="J593" s="4">
        <v>0</v>
      </c>
      <c r="K593" s="5">
        <v>19</v>
      </c>
      <c r="L593" t="s">
        <v>23</v>
      </c>
      <c r="M593">
        <v>4</v>
      </c>
    </row>
    <row r="594" spans="1:13">
      <c r="A594" t="s">
        <v>557</v>
      </c>
      <c r="B594" s="1">
        <v>45966</v>
      </c>
      <c r="C594" t="s">
        <v>31</v>
      </c>
      <c r="D594" t="s">
        <v>15</v>
      </c>
      <c r="E594" t="s">
        <v>16</v>
      </c>
      <c r="F594" t="s">
        <v>17</v>
      </c>
      <c r="G594" t="s">
        <v>2</v>
      </c>
      <c r="H594">
        <v>1</v>
      </c>
      <c r="I594" s="3">
        <v>19</v>
      </c>
      <c r="J594" s="4">
        <v>0</v>
      </c>
      <c r="K594" s="5">
        <v>19</v>
      </c>
      <c r="L594" t="s">
        <v>23</v>
      </c>
      <c r="M594">
        <v>5</v>
      </c>
    </row>
    <row r="595" spans="1:13">
      <c r="A595" t="s">
        <v>564</v>
      </c>
      <c r="B595" s="1">
        <v>45969</v>
      </c>
      <c r="C595" t="s">
        <v>31</v>
      </c>
      <c r="D595" t="s">
        <v>15</v>
      </c>
      <c r="E595" t="s">
        <v>16</v>
      </c>
      <c r="F595" t="s">
        <v>17</v>
      </c>
      <c r="G595" t="s">
        <v>2</v>
      </c>
      <c r="H595">
        <v>1</v>
      </c>
      <c r="I595" s="3">
        <v>19</v>
      </c>
      <c r="J595" s="4">
        <v>0</v>
      </c>
      <c r="K595" s="5">
        <v>19</v>
      </c>
      <c r="L595" t="s">
        <v>23</v>
      </c>
      <c r="M595">
        <v>4</v>
      </c>
    </row>
    <row r="596" spans="1:13">
      <c r="A596" t="s">
        <v>585</v>
      </c>
      <c r="B596" s="1">
        <v>45981</v>
      </c>
      <c r="C596" t="s">
        <v>14</v>
      </c>
      <c r="D596" t="s">
        <v>15</v>
      </c>
      <c r="E596" t="s">
        <v>16</v>
      </c>
      <c r="F596" t="s">
        <v>17</v>
      </c>
      <c r="G596" t="s">
        <v>2</v>
      </c>
      <c r="H596">
        <v>1</v>
      </c>
      <c r="I596" s="3">
        <v>19</v>
      </c>
      <c r="J596" s="4">
        <v>0</v>
      </c>
      <c r="K596" s="5">
        <v>19</v>
      </c>
      <c r="L596" t="s">
        <v>51</v>
      </c>
      <c r="M596">
        <v>4</v>
      </c>
    </row>
    <row r="597" spans="1:13">
      <c r="A597" t="s">
        <v>627</v>
      </c>
      <c r="B597" s="1">
        <v>46002</v>
      </c>
      <c r="C597" t="s">
        <v>57</v>
      </c>
      <c r="D597" t="s">
        <v>15</v>
      </c>
      <c r="E597" t="s">
        <v>16</v>
      </c>
      <c r="F597" t="s">
        <v>17</v>
      </c>
      <c r="G597" t="s">
        <v>2</v>
      </c>
      <c r="H597">
        <v>1</v>
      </c>
      <c r="I597" s="3">
        <v>19</v>
      </c>
      <c r="J597" s="4">
        <v>0</v>
      </c>
      <c r="K597" s="5">
        <v>19</v>
      </c>
      <c r="L597" t="s">
        <v>51</v>
      </c>
    </row>
    <row r="598" spans="1:13">
      <c r="A598" t="s">
        <v>646</v>
      </c>
      <c r="B598" s="1">
        <v>46015</v>
      </c>
      <c r="C598" t="s">
        <v>25</v>
      </c>
      <c r="D598" t="s">
        <v>15</v>
      </c>
      <c r="E598" t="s">
        <v>16</v>
      </c>
      <c r="F598" t="s">
        <v>17</v>
      </c>
      <c r="G598" t="s">
        <v>2</v>
      </c>
      <c r="H598">
        <v>1</v>
      </c>
      <c r="I598" s="3">
        <v>19</v>
      </c>
      <c r="J598" s="4">
        <v>0</v>
      </c>
      <c r="K598" s="5">
        <v>19</v>
      </c>
      <c r="L598" t="s">
        <v>23</v>
      </c>
    </row>
    <row r="599" spans="1:13">
      <c r="A599" t="s">
        <v>112</v>
      </c>
      <c r="B599" s="1">
        <v>45693</v>
      </c>
      <c r="C599" t="s">
        <v>31</v>
      </c>
      <c r="D599" t="s">
        <v>15</v>
      </c>
      <c r="E599" t="s">
        <v>16</v>
      </c>
      <c r="F599" t="s">
        <v>17</v>
      </c>
      <c r="G599" t="s">
        <v>2</v>
      </c>
      <c r="H599">
        <v>1</v>
      </c>
      <c r="I599" s="3">
        <v>19</v>
      </c>
      <c r="J599" s="4">
        <v>0.05</v>
      </c>
      <c r="K599" s="5">
        <v>18.05</v>
      </c>
      <c r="L599" t="s">
        <v>51</v>
      </c>
      <c r="M599">
        <v>5</v>
      </c>
    </row>
    <row r="600" spans="1:13">
      <c r="A600" t="s">
        <v>371</v>
      </c>
      <c r="B600" s="1">
        <v>45851</v>
      </c>
      <c r="C600" t="s">
        <v>54</v>
      </c>
      <c r="D600" t="s">
        <v>35</v>
      </c>
      <c r="E600" t="s">
        <v>16</v>
      </c>
      <c r="F600" t="s">
        <v>17</v>
      </c>
      <c r="G600" t="s">
        <v>2</v>
      </c>
      <c r="H600">
        <v>1</v>
      </c>
      <c r="I600" s="3">
        <v>19</v>
      </c>
      <c r="J600" s="4">
        <v>0.05</v>
      </c>
      <c r="K600" s="5">
        <v>18.05</v>
      </c>
      <c r="L600" t="s">
        <v>23</v>
      </c>
      <c r="M600">
        <v>3</v>
      </c>
    </row>
    <row r="601" spans="1:13">
      <c r="A601" t="s">
        <v>626</v>
      </c>
      <c r="B601" s="1">
        <v>46002</v>
      </c>
      <c r="C601" t="s">
        <v>44</v>
      </c>
      <c r="D601" t="s">
        <v>45</v>
      </c>
      <c r="E601" t="s">
        <v>16</v>
      </c>
      <c r="F601" t="s">
        <v>17</v>
      </c>
      <c r="G601" t="s">
        <v>2</v>
      </c>
      <c r="H601">
        <v>1</v>
      </c>
      <c r="I601" s="3">
        <v>19</v>
      </c>
      <c r="J601" s="4">
        <v>0.05</v>
      </c>
      <c r="K601" s="5">
        <v>18.05</v>
      </c>
      <c r="L601" t="s">
        <v>18</v>
      </c>
      <c r="M601">
        <v>4</v>
      </c>
    </row>
    <row r="602" spans="1:13">
      <c r="A602" t="s">
        <v>181</v>
      </c>
      <c r="B602" s="1">
        <v>45726</v>
      </c>
      <c r="C602" t="s">
        <v>34</v>
      </c>
      <c r="D602" t="s">
        <v>35</v>
      </c>
      <c r="E602" t="s">
        <v>16</v>
      </c>
      <c r="F602" t="s">
        <v>17</v>
      </c>
      <c r="G602" t="s">
        <v>2</v>
      </c>
      <c r="H602">
        <v>1</v>
      </c>
      <c r="I602" s="3">
        <v>19</v>
      </c>
      <c r="J602" s="4">
        <v>0.1</v>
      </c>
      <c r="K602" s="5">
        <v>17.100000000000001</v>
      </c>
      <c r="L602" t="s">
        <v>38</v>
      </c>
      <c r="M602">
        <v>4</v>
      </c>
    </row>
    <row r="603" spans="1:13">
      <c r="A603" t="s">
        <v>223</v>
      </c>
      <c r="B603" s="1">
        <v>45756</v>
      </c>
      <c r="C603" t="s">
        <v>14</v>
      </c>
      <c r="D603" t="s">
        <v>15</v>
      </c>
      <c r="E603" t="s">
        <v>16</v>
      </c>
      <c r="F603" t="s">
        <v>17</v>
      </c>
      <c r="G603" t="s">
        <v>2</v>
      </c>
      <c r="H603">
        <v>1</v>
      </c>
      <c r="I603" s="3">
        <v>19</v>
      </c>
      <c r="J603" s="4">
        <v>0.1</v>
      </c>
      <c r="K603" s="5">
        <v>17.100000000000001</v>
      </c>
      <c r="L603" t="s">
        <v>18</v>
      </c>
      <c r="M603">
        <v>3</v>
      </c>
    </row>
    <row r="604" spans="1:13">
      <c r="A604" t="s">
        <v>339</v>
      </c>
      <c r="B604" s="1">
        <v>45826</v>
      </c>
      <c r="C604" t="s">
        <v>57</v>
      </c>
      <c r="D604" t="s">
        <v>15</v>
      </c>
      <c r="E604" t="s">
        <v>16</v>
      </c>
      <c r="F604" t="s">
        <v>17</v>
      </c>
      <c r="G604" t="s">
        <v>2</v>
      </c>
      <c r="H604">
        <v>1</v>
      </c>
      <c r="I604" s="3">
        <v>19</v>
      </c>
      <c r="J604" s="4">
        <v>0.1</v>
      </c>
      <c r="K604" s="5">
        <v>17.100000000000001</v>
      </c>
      <c r="L604" t="s">
        <v>23</v>
      </c>
      <c r="M604">
        <v>5</v>
      </c>
    </row>
    <row r="605" spans="1:13">
      <c r="A605" t="s">
        <v>379</v>
      </c>
      <c r="B605" s="1">
        <v>45856</v>
      </c>
      <c r="C605" t="s">
        <v>25</v>
      </c>
      <c r="D605" t="s">
        <v>15</v>
      </c>
      <c r="E605" t="s">
        <v>16</v>
      </c>
      <c r="F605" t="s">
        <v>17</v>
      </c>
      <c r="G605" t="s">
        <v>2</v>
      </c>
      <c r="H605">
        <v>1</v>
      </c>
      <c r="I605" s="3">
        <v>19</v>
      </c>
      <c r="J605" s="4">
        <v>0.1</v>
      </c>
      <c r="K605" s="5">
        <v>17.100000000000001</v>
      </c>
      <c r="L605" t="s">
        <v>38</v>
      </c>
      <c r="M605">
        <v>5</v>
      </c>
    </row>
    <row r="606" spans="1:13">
      <c r="A606" t="s">
        <v>624</v>
      </c>
      <c r="B606" s="1">
        <v>46001</v>
      </c>
      <c r="C606" t="s">
        <v>34</v>
      </c>
      <c r="D606" t="s">
        <v>35</v>
      </c>
      <c r="E606" t="s">
        <v>16</v>
      </c>
      <c r="F606" t="s">
        <v>17</v>
      </c>
      <c r="G606" t="s">
        <v>2</v>
      </c>
      <c r="H606">
        <v>1</v>
      </c>
      <c r="I606" s="3">
        <v>19</v>
      </c>
      <c r="J606" s="4">
        <v>0.1</v>
      </c>
      <c r="K606" s="5">
        <v>17.100000000000001</v>
      </c>
      <c r="L606" t="s">
        <v>23</v>
      </c>
      <c r="M606">
        <v>4</v>
      </c>
    </row>
    <row r="607" spans="1:13">
      <c r="A607" t="s">
        <v>13</v>
      </c>
      <c r="B607" s="1">
        <v>45658</v>
      </c>
      <c r="C607" t="s">
        <v>14</v>
      </c>
      <c r="D607" t="s">
        <v>15</v>
      </c>
      <c r="E607" t="s">
        <v>16</v>
      </c>
      <c r="F607" t="s">
        <v>17</v>
      </c>
      <c r="G607" t="s">
        <v>2</v>
      </c>
      <c r="H607">
        <v>1</v>
      </c>
      <c r="I607" s="3">
        <v>19</v>
      </c>
      <c r="J607" s="4">
        <v>0.15</v>
      </c>
      <c r="K607" s="5">
        <v>16.149999999999999</v>
      </c>
      <c r="L607" t="s">
        <v>18</v>
      </c>
    </row>
    <row r="608" spans="1:13">
      <c r="A608" t="s">
        <v>253</v>
      </c>
      <c r="B608" s="1">
        <v>45776</v>
      </c>
      <c r="C608" t="s">
        <v>44</v>
      </c>
      <c r="D608" t="s">
        <v>45</v>
      </c>
      <c r="E608" t="s">
        <v>16</v>
      </c>
      <c r="F608" t="s">
        <v>17</v>
      </c>
      <c r="G608" t="s">
        <v>2</v>
      </c>
      <c r="H608">
        <v>1</v>
      </c>
      <c r="I608" s="3">
        <v>19</v>
      </c>
      <c r="J608" s="4">
        <v>0.15</v>
      </c>
      <c r="K608" s="5">
        <v>16.149999999999999</v>
      </c>
      <c r="L608" t="s">
        <v>23</v>
      </c>
    </row>
    <row r="609" spans="1:13">
      <c r="A609" t="s">
        <v>282</v>
      </c>
      <c r="B609" s="1">
        <v>45794</v>
      </c>
      <c r="C609" t="s">
        <v>14</v>
      </c>
      <c r="D609" t="s">
        <v>15</v>
      </c>
      <c r="E609" t="s">
        <v>16</v>
      </c>
      <c r="F609" t="s">
        <v>17</v>
      </c>
      <c r="G609" t="s">
        <v>2</v>
      </c>
      <c r="H609">
        <v>1</v>
      </c>
      <c r="I609" s="3">
        <v>19</v>
      </c>
      <c r="J609" s="4">
        <v>0.15</v>
      </c>
      <c r="K609" s="5">
        <v>16.149999999999999</v>
      </c>
      <c r="L609" t="s">
        <v>51</v>
      </c>
      <c r="M609">
        <v>5</v>
      </c>
    </row>
    <row r="610" spans="1:13">
      <c r="A610" t="s">
        <v>298</v>
      </c>
      <c r="B610" s="1">
        <v>45805</v>
      </c>
      <c r="C610" t="s">
        <v>34</v>
      </c>
      <c r="D610" t="s">
        <v>35</v>
      </c>
      <c r="E610" t="s">
        <v>16</v>
      </c>
      <c r="F610" t="s">
        <v>17</v>
      </c>
      <c r="G610" t="s">
        <v>2</v>
      </c>
      <c r="H610">
        <v>1</v>
      </c>
      <c r="I610" s="3">
        <v>19</v>
      </c>
      <c r="J610" s="4">
        <v>0.15</v>
      </c>
      <c r="K610" s="5">
        <v>16.149999999999999</v>
      </c>
      <c r="L610" t="s">
        <v>23</v>
      </c>
      <c r="M610">
        <v>4</v>
      </c>
    </row>
    <row r="611" spans="1:13">
      <c r="A611" t="s">
        <v>406</v>
      </c>
      <c r="B611" s="1">
        <v>45877</v>
      </c>
      <c r="C611" t="s">
        <v>54</v>
      </c>
      <c r="D611" t="s">
        <v>35</v>
      </c>
      <c r="E611" t="s">
        <v>16</v>
      </c>
      <c r="F611" t="s">
        <v>17</v>
      </c>
      <c r="G611" t="s">
        <v>2</v>
      </c>
      <c r="H611">
        <v>1</v>
      </c>
      <c r="I611" s="3">
        <v>19</v>
      </c>
      <c r="J611" s="4">
        <v>0.2</v>
      </c>
      <c r="K611" s="5">
        <v>15.2</v>
      </c>
      <c r="L611" t="s">
        <v>23</v>
      </c>
      <c r="M611">
        <v>5</v>
      </c>
    </row>
    <row r="612" spans="1:13">
      <c r="A612" t="s">
        <v>471</v>
      </c>
      <c r="B612" s="1">
        <v>45920</v>
      </c>
      <c r="C612" t="s">
        <v>34</v>
      </c>
      <c r="D612" t="s">
        <v>35</v>
      </c>
      <c r="E612" t="s">
        <v>16</v>
      </c>
      <c r="F612" t="s">
        <v>17</v>
      </c>
      <c r="G612" t="s">
        <v>2</v>
      </c>
      <c r="H612">
        <v>1</v>
      </c>
      <c r="I612" s="3">
        <v>19</v>
      </c>
      <c r="J612" s="4">
        <v>0.2</v>
      </c>
      <c r="K612" s="5">
        <v>15.2</v>
      </c>
      <c r="L612" t="s">
        <v>23</v>
      </c>
      <c r="M612">
        <v>4</v>
      </c>
    </row>
    <row r="613" spans="1:13">
      <c r="A613" t="s">
        <v>477</v>
      </c>
      <c r="B613" s="1">
        <v>45923</v>
      </c>
      <c r="C613" t="s">
        <v>31</v>
      </c>
      <c r="D613" t="s">
        <v>15</v>
      </c>
      <c r="E613" t="s">
        <v>16</v>
      </c>
      <c r="F613" t="s">
        <v>17</v>
      </c>
      <c r="G613" t="s">
        <v>2</v>
      </c>
      <c r="H613">
        <v>1</v>
      </c>
      <c r="I613" s="3">
        <v>19</v>
      </c>
      <c r="J613" s="4">
        <v>0.2</v>
      </c>
      <c r="K613" s="5">
        <v>15.2</v>
      </c>
      <c r="L613" t="s">
        <v>38</v>
      </c>
      <c r="M613">
        <v>2</v>
      </c>
    </row>
    <row r="614" spans="1:13">
      <c r="A614" t="s">
        <v>522</v>
      </c>
      <c r="B614" s="1">
        <v>45943</v>
      </c>
      <c r="C614" t="s">
        <v>40</v>
      </c>
      <c r="D614" t="s">
        <v>41</v>
      </c>
      <c r="E614" t="s">
        <v>16</v>
      </c>
      <c r="F614" t="s">
        <v>17</v>
      </c>
      <c r="G614" t="s">
        <v>2</v>
      </c>
      <c r="H614">
        <v>1</v>
      </c>
      <c r="I614" s="3">
        <v>19</v>
      </c>
      <c r="J614" s="4">
        <v>0.2</v>
      </c>
      <c r="K614" s="5">
        <v>15.2</v>
      </c>
      <c r="L614" t="s">
        <v>38</v>
      </c>
      <c r="M614">
        <v>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workbookViewId="0">
      <pane ySplit="1" topLeftCell="A2" activePane="bottomLeft" state="frozen"/>
      <selection pane="bottomLeft"/>
    </sheetView>
  </sheetViews>
  <sheetFormatPr defaultRowHeight="15"/>
  <cols>
    <col min="1" max="1" width="20" customWidth="1"/>
    <col min="2" max="2" width="14" customWidth="1"/>
    <col min="3" max="4" width="42" customWidth="1"/>
  </cols>
  <sheetData>
    <row r="1" spans="1:4">
      <c r="A1" s="2" t="s">
        <v>665</v>
      </c>
      <c r="B1" s="2" t="s">
        <v>666</v>
      </c>
      <c r="C1" s="2" t="s">
        <v>667</v>
      </c>
      <c r="D1" s="2" t="s">
        <v>668</v>
      </c>
    </row>
    <row r="2" spans="1:4">
      <c r="A2" t="s">
        <v>0</v>
      </c>
      <c r="B2" t="s">
        <v>669</v>
      </c>
      <c r="C2" t="s">
        <v>670</v>
      </c>
      <c r="D2" t="s">
        <v>671</v>
      </c>
    </row>
    <row r="3" spans="1:4">
      <c r="A3" t="s">
        <v>1</v>
      </c>
      <c r="B3" t="s">
        <v>672</v>
      </c>
      <c r="C3" t="s">
        <v>673</v>
      </c>
      <c r="D3" t="s">
        <v>674</v>
      </c>
    </row>
    <row r="4" spans="1:4">
      <c r="A4" t="s">
        <v>2</v>
      </c>
      <c r="B4" t="s">
        <v>669</v>
      </c>
      <c r="C4" t="s">
        <v>675</v>
      </c>
      <c r="D4" t="s">
        <v>676</v>
      </c>
    </row>
    <row r="5" spans="1:4">
      <c r="A5" t="s">
        <v>3</v>
      </c>
      <c r="B5" t="s">
        <v>669</v>
      </c>
      <c r="C5" t="s">
        <v>677</v>
      </c>
      <c r="D5" t="s">
        <v>678</v>
      </c>
    </row>
    <row r="6" spans="1:4">
      <c r="A6" t="s">
        <v>4</v>
      </c>
      <c r="B6" t="s">
        <v>669</v>
      </c>
      <c r="C6" t="s">
        <v>679</v>
      </c>
      <c r="D6" t="s">
        <v>680</v>
      </c>
    </row>
    <row r="7" spans="1:4">
      <c r="A7" t="s">
        <v>5</v>
      </c>
      <c r="B7" t="s">
        <v>669</v>
      </c>
      <c r="C7" t="s">
        <v>681</v>
      </c>
      <c r="D7" t="s">
        <v>682</v>
      </c>
    </row>
    <row r="8" spans="1:4">
      <c r="A8" t="s">
        <v>6</v>
      </c>
      <c r="B8" t="s">
        <v>669</v>
      </c>
      <c r="C8" t="s">
        <v>683</v>
      </c>
      <c r="D8" t="s">
        <v>684</v>
      </c>
    </row>
    <row r="9" spans="1:4">
      <c r="A9" t="s">
        <v>7</v>
      </c>
      <c r="B9" t="s">
        <v>685</v>
      </c>
      <c r="C9" t="s">
        <v>686</v>
      </c>
      <c r="D9" t="s">
        <v>687</v>
      </c>
    </row>
    <row r="10" spans="1:4">
      <c r="A10" t="s">
        <v>8</v>
      </c>
      <c r="B10" t="s">
        <v>688</v>
      </c>
      <c r="C10" t="s">
        <v>689</v>
      </c>
      <c r="D10" t="s">
        <v>690</v>
      </c>
    </row>
    <row r="11" spans="1:4">
      <c r="A11" t="s">
        <v>9</v>
      </c>
      <c r="B11" t="s">
        <v>691</v>
      </c>
      <c r="C11" t="s">
        <v>692</v>
      </c>
      <c r="D11" t="s">
        <v>693</v>
      </c>
    </row>
    <row r="12" spans="1:4">
      <c r="A12" t="s">
        <v>10</v>
      </c>
      <c r="B12" t="s">
        <v>688</v>
      </c>
      <c r="C12" t="s">
        <v>694</v>
      </c>
      <c r="D12" t="s">
        <v>690</v>
      </c>
    </row>
    <row r="13" spans="1:4">
      <c r="A13" t="s">
        <v>11</v>
      </c>
      <c r="B13" t="s">
        <v>669</v>
      </c>
      <c r="C13" t="s">
        <v>695</v>
      </c>
      <c r="D13" t="s">
        <v>696</v>
      </c>
    </row>
    <row r="14" spans="1:4">
      <c r="A14" t="s">
        <v>12</v>
      </c>
      <c r="B14" t="s">
        <v>685</v>
      </c>
      <c r="C14" t="s">
        <v>697</v>
      </c>
      <c r="D14" t="s">
        <v>698</v>
      </c>
    </row>
  </sheetData>
  <autoFilter ref="A1:D14"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workbookViewId="0">
      <pane ySplit="1" topLeftCell="A2" activePane="bottomLeft" state="frozen"/>
      <selection pane="bottomLeft"/>
    </sheetView>
  </sheetViews>
  <sheetFormatPr defaultRowHeight="15"/>
  <cols>
    <col min="1" max="1" width="33" customWidth="1"/>
    <col min="2" max="2" width="16" customWidth="1"/>
    <col min="3" max="3" width="37" customWidth="1"/>
    <col min="4" max="4" width="42" customWidth="1"/>
  </cols>
  <sheetData>
    <row r="1" spans="1:4">
      <c r="A1" s="2" t="s">
        <v>699</v>
      </c>
      <c r="B1" s="2" t="s">
        <v>665</v>
      </c>
      <c r="C1" s="2" t="s">
        <v>700</v>
      </c>
      <c r="D1" s="2" t="s">
        <v>701</v>
      </c>
    </row>
    <row r="2" spans="1:4">
      <c r="A2" t="s">
        <v>702</v>
      </c>
      <c r="B2" t="s">
        <v>2</v>
      </c>
      <c r="C2" t="s">
        <v>703</v>
      </c>
      <c r="D2" t="s">
        <v>704</v>
      </c>
    </row>
    <row r="3" spans="1:4">
      <c r="A3" t="s">
        <v>705</v>
      </c>
      <c r="B3" t="s">
        <v>3</v>
      </c>
      <c r="C3" t="s">
        <v>706</v>
      </c>
      <c r="D3" t="s">
        <v>707</v>
      </c>
    </row>
    <row r="4" spans="1:4">
      <c r="A4" t="s">
        <v>708</v>
      </c>
      <c r="B4" t="s">
        <v>4</v>
      </c>
      <c r="C4" t="s">
        <v>709</v>
      </c>
      <c r="D4" t="s">
        <v>710</v>
      </c>
    </row>
    <row r="5" spans="1:4">
      <c r="A5" t="s">
        <v>711</v>
      </c>
      <c r="B5" t="s">
        <v>0</v>
      </c>
      <c r="C5" t="s">
        <v>712</v>
      </c>
      <c r="D5" t="s">
        <v>713</v>
      </c>
    </row>
    <row r="6" spans="1:4">
      <c r="A6" t="s">
        <v>714</v>
      </c>
      <c r="B6" t="s">
        <v>1</v>
      </c>
      <c r="C6" t="s">
        <v>715</v>
      </c>
      <c r="D6" t="s">
        <v>716</v>
      </c>
    </row>
    <row r="7" spans="1:4">
      <c r="A7" t="s">
        <v>717</v>
      </c>
      <c r="B7" t="s">
        <v>7</v>
      </c>
      <c r="C7" t="s">
        <v>718</v>
      </c>
      <c r="D7" t="s">
        <v>719</v>
      </c>
    </row>
    <row r="8" spans="1:4">
      <c r="A8" t="s">
        <v>720</v>
      </c>
      <c r="B8" t="s">
        <v>9</v>
      </c>
      <c r="C8" t="s">
        <v>721</v>
      </c>
      <c r="D8" t="s">
        <v>722</v>
      </c>
    </row>
    <row r="9" spans="1:4">
      <c r="A9" t="s">
        <v>723</v>
      </c>
      <c r="B9" t="s">
        <v>10</v>
      </c>
      <c r="C9" t="s">
        <v>724</v>
      </c>
      <c r="D9" t="s">
        <v>725</v>
      </c>
    </row>
    <row r="10" spans="1:4">
      <c r="A10" t="s">
        <v>726</v>
      </c>
      <c r="B10" t="s">
        <v>12</v>
      </c>
      <c r="C10" t="s">
        <v>727</v>
      </c>
      <c r="D10" t="s">
        <v>728</v>
      </c>
    </row>
    <row r="11" spans="1:4">
      <c r="A11" t="s">
        <v>729</v>
      </c>
      <c r="B11" t="s">
        <v>7</v>
      </c>
      <c r="C11" t="s">
        <v>730</v>
      </c>
      <c r="D11" t="s">
        <v>731</v>
      </c>
    </row>
    <row r="12" spans="1:4">
      <c r="A12" t="s">
        <v>732</v>
      </c>
      <c r="B12" t="s">
        <v>733</v>
      </c>
      <c r="C12" t="s">
        <v>734</v>
      </c>
      <c r="D12" t="s">
        <v>735</v>
      </c>
    </row>
  </sheetData>
  <autoFilter ref="A1:D12"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44C1D-FC4A-48FE-8B60-CF321BD9307A}">
  <dimension ref="A1:G116"/>
  <sheetViews>
    <sheetView topLeftCell="A12" workbookViewId="0">
      <selection activeCell="C59" sqref="C59"/>
    </sheetView>
  </sheetViews>
  <sheetFormatPr defaultRowHeight="15"/>
  <cols>
    <col min="1" max="1" width="29.140625" customWidth="1"/>
    <col min="2" max="2" width="26" customWidth="1"/>
    <col min="3" max="3" width="27.7109375" customWidth="1"/>
    <col min="4" max="4" width="19.7109375" customWidth="1"/>
  </cols>
  <sheetData>
    <row r="1" spans="1:3" ht="21">
      <c r="A1" s="39" t="s">
        <v>736</v>
      </c>
    </row>
    <row r="3" spans="1:3" ht="18.75">
      <c r="A3" s="25" t="s">
        <v>737</v>
      </c>
    </row>
    <row r="5" spans="1:3">
      <c r="A5" s="8" t="s">
        <v>665</v>
      </c>
      <c r="B5" s="9" t="s">
        <v>738</v>
      </c>
      <c r="C5" s="10" t="s">
        <v>739</v>
      </c>
    </row>
    <row r="6" spans="1:3">
      <c r="A6" s="11" t="s">
        <v>0</v>
      </c>
      <c r="B6" s="12" t="s">
        <v>740</v>
      </c>
      <c r="C6" s="12" t="s">
        <v>741</v>
      </c>
    </row>
    <row r="7" spans="1:3">
      <c r="A7" s="6" t="s">
        <v>1</v>
      </c>
      <c r="B7" s="7" t="s">
        <v>742</v>
      </c>
      <c r="C7" s="7" t="s">
        <v>741</v>
      </c>
    </row>
    <row r="8" spans="1:3">
      <c r="A8" s="6" t="s">
        <v>2</v>
      </c>
      <c r="B8" s="7" t="s">
        <v>743</v>
      </c>
      <c r="C8" s="7" t="s">
        <v>741</v>
      </c>
    </row>
    <row r="9" spans="1:3">
      <c r="A9" s="6" t="s">
        <v>3</v>
      </c>
      <c r="B9" s="7" t="s">
        <v>743</v>
      </c>
      <c r="C9" s="7" t="s">
        <v>741</v>
      </c>
    </row>
    <row r="10" spans="1:3">
      <c r="A10" s="6" t="s">
        <v>4</v>
      </c>
      <c r="B10" s="7" t="s">
        <v>743</v>
      </c>
      <c r="C10" s="7" t="s">
        <v>741</v>
      </c>
    </row>
    <row r="11" spans="1:3">
      <c r="A11" s="6" t="s">
        <v>5</v>
      </c>
      <c r="B11" s="7" t="s">
        <v>743</v>
      </c>
      <c r="C11" s="7" t="s">
        <v>741</v>
      </c>
    </row>
    <row r="12" spans="1:3">
      <c r="A12" s="6" t="s">
        <v>6</v>
      </c>
      <c r="B12" s="7" t="s">
        <v>743</v>
      </c>
      <c r="C12" s="7" t="s">
        <v>741</v>
      </c>
    </row>
    <row r="13" spans="1:3">
      <c r="A13" s="6" t="s">
        <v>7</v>
      </c>
      <c r="B13" s="7" t="s">
        <v>744</v>
      </c>
      <c r="C13" s="7" t="s">
        <v>745</v>
      </c>
    </row>
    <row r="14" spans="1:3">
      <c r="A14" s="6" t="s">
        <v>8</v>
      </c>
      <c r="B14" s="7" t="s">
        <v>746</v>
      </c>
      <c r="C14" s="7" t="s">
        <v>745</v>
      </c>
    </row>
    <row r="15" spans="1:3">
      <c r="A15" s="6" t="s">
        <v>9</v>
      </c>
      <c r="B15" s="7" t="s">
        <v>746</v>
      </c>
      <c r="C15" s="7" t="s">
        <v>745</v>
      </c>
    </row>
    <row r="16" spans="1:3">
      <c r="A16" s="6" t="s">
        <v>10</v>
      </c>
      <c r="B16" s="7" t="s">
        <v>746</v>
      </c>
      <c r="C16" s="7" t="s">
        <v>745</v>
      </c>
    </row>
    <row r="17" spans="1:4">
      <c r="A17" s="6" t="s">
        <v>11</v>
      </c>
      <c r="B17" s="7" t="s">
        <v>743</v>
      </c>
      <c r="C17" s="7" t="s">
        <v>741</v>
      </c>
    </row>
    <row r="18" spans="1:4">
      <c r="A18" s="6" t="s">
        <v>12</v>
      </c>
      <c r="B18" s="7" t="s">
        <v>747</v>
      </c>
      <c r="C18" s="7" t="s">
        <v>748</v>
      </c>
    </row>
    <row r="20" spans="1:4">
      <c r="A20" t="s">
        <v>749</v>
      </c>
    </row>
    <row r="23" spans="1:4" ht="18.75">
      <c r="A23" s="25" t="s">
        <v>750</v>
      </c>
    </row>
    <row r="25" spans="1:4">
      <c r="B25" s="16" t="s">
        <v>10</v>
      </c>
      <c r="C25" s="17" t="s">
        <v>8</v>
      </c>
      <c r="D25" s="18" t="s">
        <v>751</v>
      </c>
    </row>
    <row r="26" spans="1:4">
      <c r="A26" s="13" t="s">
        <v>752</v>
      </c>
      <c r="B26" s="19">
        <f>AVERAGE(Tableau13[Montant_TTC])</f>
        <v>1679.7724306688415</v>
      </c>
      <c r="C26" s="20">
        <f>AVERAGE(Tableau13[Prix_unitaire_TTC])</f>
        <v>892.27569331158236</v>
      </c>
      <c r="D26" s="23">
        <f>AVERAGE(Tableau13[Note_client])</f>
        <v>4.0982142857142856</v>
      </c>
    </row>
    <row r="27" spans="1:4">
      <c r="A27" s="14" t="s">
        <v>753</v>
      </c>
      <c r="B27" s="21">
        <f>MEDIAN(Tableau13[Montant_TTC])</f>
        <v>177</v>
      </c>
      <c r="C27" s="22">
        <f>MEDIAN(Tableau13[Prix_unitaire_TTC])</f>
        <v>89</v>
      </c>
      <c r="D27" s="24">
        <f>MEDIAN(Tableau13[Note_client])</f>
        <v>4</v>
      </c>
    </row>
    <row r="28" spans="1:4">
      <c r="A28" s="15" t="s">
        <v>754</v>
      </c>
      <c r="B28" s="21">
        <f>_xlfn.MODE.SNGL(Tableau13[Montant_TTC])</f>
        <v>19</v>
      </c>
      <c r="C28" s="22">
        <f>_xlfn.MODE.SNGL(Tableau13[Prix_unitaire_TTC])</f>
        <v>19</v>
      </c>
      <c r="D28" s="24">
        <f>_xlfn.MODE.SNGL(Tableau13[Note_client])</f>
        <v>5</v>
      </c>
    </row>
    <row r="30" spans="1:4">
      <c r="A30" t="s">
        <v>755</v>
      </c>
    </row>
    <row r="31" spans="1:4">
      <c r="A31" t="s">
        <v>756</v>
      </c>
    </row>
    <row r="34" spans="1:2" ht="18.75">
      <c r="A34" s="25" t="s">
        <v>757</v>
      </c>
    </row>
    <row r="36" spans="1:2">
      <c r="A36" s="7" t="s">
        <v>758</v>
      </c>
      <c r="B36" s="7">
        <f>COUNT(Tableau13[Montant_TTC])</f>
        <v>613</v>
      </c>
    </row>
    <row r="37" spans="1:2">
      <c r="A37" s="7" t="s">
        <v>759</v>
      </c>
      <c r="B37" s="7">
        <f>COUNT(Tableau13[Note_client])</f>
        <v>560</v>
      </c>
    </row>
    <row r="38" spans="1:2">
      <c r="A38" s="7" t="s">
        <v>760</v>
      </c>
      <c r="B38" s="7">
        <f>COUNTBLANK(Tableau13[Note_client])</f>
        <v>53</v>
      </c>
    </row>
    <row r="40" spans="1:2">
      <c r="A40" t="s">
        <v>761</v>
      </c>
    </row>
    <row r="41" spans="1:2">
      <c r="A41" t="s">
        <v>762</v>
      </c>
    </row>
    <row r="44" spans="1:2" ht="18.75">
      <c r="A44" s="25" t="s">
        <v>763</v>
      </c>
    </row>
    <row r="46" spans="1:2">
      <c r="A46" s="7" t="s">
        <v>764</v>
      </c>
      <c r="B46" s="26">
        <f>SUM(Tableau13[Montant_TTC])</f>
        <v>1029700.4999999998</v>
      </c>
    </row>
    <row r="47" spans="1:2">
      <c r="A47" s="7" t="s">
        <v>765</v>
      </c>
      <c r="B47" s="22">
        <f>SUMIFS(Tableau13[Montant_TTC], Tableau13[Statut], "Livrée")</f>
        <v>343877.45000000007</v>
      </c>
    </row>
    <row r="48" spans="1:2">
      <c r="A48" s="7" t="s">
        <v>766</v>
      </c>
      <c r="B48" s="7">
        <f>COUNTIFS(Tableau13[Statut], "Livrée")</f>
        <v>360</v>
      </c>
    </row>
    <row r="50" spans="1:4">
      <c r="A50" t="s">
        <v>767</v>
      </c>
      <c r="D50" s="27">
        <f>B47/B46</f>
        <v>0.33395870935286537</v>
      </c>
    </row>
    <row r="51" spans="1:4">
      <c r="A51" t="s">
        <v>768</v>
      </c>
    </row>
    <row r="52" spans="1:4">
      <c r="B52" t="s">
        <v>769</v>
      </c>
    </row>
    <row r="55" spans="1:4" ht="18.75">
      <c r="A55" s="25" t="s">
        <v>770</v>
      </c>
    </row>
    <row r="57" spans="1:4">
      <c r="A57" s="28" t="s">
        <v>771</v>
      </c>
      <c r="B57" s="9" t="s">
        <v>772</v>
      </c>
      <c r="C57" s="32" t="s">
        <v>773</v>
      </c>
      <c r="D57" s="10" t="s">
        <v>774</v>
      </c>
    </row>
    <row r="58" spans="1:4">
      <c r="A58" s="29" t="s">
        <v>20</v>
      </c>
      <c r="B58" s="31">
        <f>COUNTIFS(Tableau13[Categorie],"Accessoires", Tableau13[Statut],"Livrée")</f>
        <v>101</v>
      </c>
      <c r="C58" s="33">
        <f>SUMIFS(Tableau13[Montant_TTC], Tableau13[Categorie], "Accessoires", Tableau13[Statut], "Livrée")</f>
        <v>7992.3499999999976</v>
      </c>
      <c r="D58" s="19">
        <f>AVERAGEIFS(Tableau13[Montant_TTC], Tableau13[Categorie], "Accessoires", Tableau13[Statut], "Livrée")</f>
        <v>79.13217821782176</v>
      </c>
    </row>
    <row r="59" spans="1:4">
      <c r="A59" s="30" t="s">
        <v>16</v>
      </c>
      <c r="B59" s="31">
        <f>COUNTIFS(Tableau13[Categorie], "Atelier", Tableau13[Statut], "Livrée")</f>
        <v>76</v>
      </c>
      <c r="C59" s="33">
        <f>SUMIFS(Tableau13[Montant_TTC], Tableau13[Categorie], "Atelier", Tableau13[Statut], "Livrée")</f>
        <v>5350.05</v>
      </c>
      <c r="D59" s="19">
        <f>AVERAGEIFS(Tableau13[Montant_TTC], Tableau13[Categorie], "Atelier", Tableau13[Statut], "Livrée")</f>
        <v>70.395394736842107</v>
      </c>
    </row>
    <row r="60" spans="1:4">
      <c r="A60" s="30" t="s">
        <v>48</v>
      </c>
      <c r="B60" s="31">
        <f>COUNTIFS(Tableau13[Categorie], "VAE", Tableau13[Statut], "Livrée")</f>
        <v>51</v>
      </c>
      <c r="C60" s="33">
        <f>SUMIFS(Tableau13[Montant_TTC], Tableau13[Categorie], "VAE", Tableau13[Statut], "Livrée")</f>
        <v>148120</v>
      </c>
      <c r="D60" s="19">
        <f>AVERAGEIFS(Tableau13[Montant_TTC], Tableau13[Categorie], "VAE", Tableau13[Statut], "Livrée")</f>
        <v>2904.3137254901962</v>
      </c>
    </row>
    <row r="61" spans="1:4">
      <c r="A61" s="30" t="s">
        <v>62</v>
      </c>
      <c r="B61" s="31">
        <f>COUNTIFS(Tableau13[Categorie], "VTT", Tableau13[Statut], "Livrée")</f>
        <v>63</v>
      </c>
      <c r="C61" s="33">
        <f>SUMIFS(Tableau13[Montant_TTC], Tableau13[Categorie], "VTT", Tableau13[Statut], "Livrée")</f>
        <v>111054.05</v>
      </c>
      <c r="D61" s="19">
        <f>AVERAGEIFS(Tableau13[Montant_TTC], Tableau13[Categorie], "VTT", Tableau13[Statut], "Livrée")</f>
        <v>1762.7626984126985</v>
      </c>
    </row>
    <row r="62" spans="1:4">
      <c r="A62" s="30" t="s">
        <v>26</v>
      </c>
      <c r="B62" s="31">
        <f>COUNTIFS(Tableau13[Categorie], "Accessoires", Tableau13[Statut], "Livrée")</f>
        <v>101</v>
      </c>
      <c r="C62" s="33">
        <f>SUMIFS(Tableau13[Montant_TTC], Tableau13[Categorie], "Vélo urbain", Tableau13[Statut], "Livrée")</f>
        <v>71361.000000000015</v>
      </c>
      <c r="D62" s="19">
        <f>AVERAGEIFS(Tableau13[Montant_TTC], Tableau13[Categorie], "Vélo urbain", Tableau13[Statut], "Livrée")</f>
        <v>1034.217391304348</v>
      </c>
    </row>
    <row r="63" spans="1:4">
      <c r="A63" s="30" t="s">
        <v>775</v>
      </c>
      <c r="B63" s="7">
        <f>SUM(B58:B62)</f>
        <v>392</v>
      </c>
      <c r="C63" s="20">
        <f>SUM(C58:C62)</f>
        <v>343877.45</v>
      </c>
      <c r="D63" s="22">
        <f>SUM(D58:D62)</f>
        <v>5850.8213881619067</v>
      </c>
    </row>
    <row r="65" spans="1:5">
      <c r="A65" t="s">
        <v>776</v>
      </c>
    </row>
    <row r="66" spans="1:5">
      <c r="B66" t="s">
        <v>777</v>
      </c>
    </row>
    <row r="68" spans="1:5">
      <c r="A68" t="s">
        <v>778</v>
      </c>
      <c r="B68" s="27">
        <f>B60/B63</f>
        <v>0.13010204081632654</v>
      </c>
      <c r="C68" s="34" t="s">
        <v>779</v>
      </c>
      <c r="D68" s="27">
        <f>D60/D63</f>
        <v>0.49639418686862619</v>
      </c>
      <c r="E68" t="s">
        <v>780</v>
      </c>
    </row>
    <row r="69" spans="1:5">
      <c r="A69" t="s">
        <v>781</v>
      </c>
    </row>
    <row r="72" spans="1:5" ht="18.75">
      <c r="A72" s="25" t="s">
        <v>782</v>
      </c>
    </row>
    <row r="74" spans="1:5">
      <c r="A74" s="7" t="s">
        <v>783</v>
      </c>
      <c r="B74" s="7">
        <f>AVERAGE(Tableau13[Note_client])</f>
        <v>4.0982142857142856</v>
      </c>
    </row>
    <row r="75" spans="1:5">
      <c r="A75" s="7" t="s">
        <v>784</v>
      </c>
      <c r="B75" s="7">
        <f>SUMPRODUCT(Tableau13[Note_client], Tableau13[Montant_TTC]) / SUM(Tableau13[Montant_TTC])</f>
        <v>3.6382990490924292</v>
      </c>
    </row>
    <row r="77" spans="1:5">
      <c r="A77" t="s">
        <v>785</v>
      </c>
    </row>
    <row r="78" spans="1:5">
      <c r="A78" t="s">
        <v>786</v>
      </c>
    </row>
    <row r="79" spans="1:5">
      <c r="A79" t="s">
        <v>787</v>
      </c>
    </row>
    <row r="80" spans="1:5">
      <c r="A80" t="s">
        <v>788</v>
      </c>
    </row>
    <row r="81" spans="1:7">
      <c r="A81" s="36" t="s">
        <v>789</v>
      </c>
    </row>
    <row r="83" spans="1:7">
      <c r="A83" t="s">
        <v>790</v>
      </c>
      <c r="B83" s="35"/>
    </row>
    <row r="84" spans="1:7">
      <c r="A84" t="s">
        <v>791</v>
      </c>
    </row>
    <row r="86" spans="1:7">
      <c r="B86" t="s">
        <v>792</v>
      </c>
    </row>
    <row r="87" spans="1:7">
      <c r="C87" t="s">
        <v>793</v>
      </c>
      <c r="G87" s="5"/>
    </row>
    <row r="89" spans="1:7">
      <c r="B89" s="5" t="s">
        <v>794</v>
      </c>
    </row>
    <row r="91" spans="1:7">
      <c r="B91" t="s">
        <v>795</v>
      </c>
    </row>
    <row r="93" spans="1:7">
      <c r="B93" s="7" t="s">
        <v>796</v>
      </c>
    </row>
    <row r="95" spans="1:7">
      <c r="A95" t="s">
        <v>797</v>
      </c>
      <c r="B95">
        <f>(SUMPRODUCT(Tableau13[Note_client],Tableau13[Montant_TTC])/SUMIFS(Tableau13[Montant_TTC],Tableau13[Note_client],"&lt;&gt;"))</f>
        <v>4.069617421945174</v>
      </c>
    </row>
    <row r="96" spans="1:7">
      <c r="B96" t="s">
        <v>798</v>
      </c>
    </row>
    <row r="97" spans="1:2">
      <c r="B97" t="s">
        <v>799</v>
      </c>
    </row>
    <row r="100" spans="1:2" ht="18.75">
      <c r="A100" s="25" t="s">
        <v>800</v>
      </c>
    </row>
    <row r="102" spans="1:2">
      <c r="A102" t="s">
        <v>801</v>
      </c>
    </row>
    <row r="104" spans="1:2">
      <c r="A104" s="37" t="s">
        <v>802</v>
      </c>
    </row>
    <row r="105" spans="1:2">
      <c r="A105" t="s">
        <v>803</v>
      </c>
    </row>
    <row r="106" spans="1:2">
      <c r="A106" t="s">
        <v>804</v>
      </c>
    </row>
    <row r="107" spans="1:2">
      <c r="A107">
        <f>_xlfn.MODE.SNGL(Tableau13[Montant_TTC])</f>
        <v>19</v>
      </c>
      <c r="B107" t="s">
        <v>805</v>
      </c>
    </row>
    <row r="109" spans="1:2">
      <c r="A109" t="s">
        <v>806</v>
      </c>
    </row>
    <row r="111" spans="1:2">
      <c r="A111" t="s">
        <v>807</v>
      </c>
    </row>
    <row r="112" spans="1:2">
      <c r="A112" t="s">
        <v>808</v>
      </c>
    </row>
    <row r="113" spans="1:2">
      <c r="A113" t="s">
        <v>809</v>
      </c>
    </row>
    <row r="114" spans="1:2">
      <c r="B114" t="s">
        <v>810</v>
      </c>
    </row>
    <row r="115" spans="1:2">
      <c r="A115" s="38" t="s">
        <v>811</v>
      </c>
    </row>
    <row r="116" spans="1:2">
      <c r="A116" t="s">
        <v>812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A5F2-71CF-4E86-A669-6D45BB7B927C}">
  <dimension ref="A1:M93"/>
  <sheetViews>
    <sheetView tabSelected="1" topLeftCell="A44" workbookViewId="0">
      <selection activeCell="G63" sqref="G63"/>
    </sheetView>
  </sheetViews>
  <sheetFormatPr defaultRowHeight="15"/>
  <cols>
    <col min="1" max="1" width="53.5703125" customWidth="1"/>
    <col min="2" max="2" width="23.5703125" customWidth="1"/>
    <col min="3" max="3" width="19.5703125" customWidth="1"/>
    <col min="4" max="4" width="13.42578125" customWidth="1"/>
    <col min="6" max="6" width="12.28515625" customWidth="1"/>
    <col min="8" max="8" width="14.7109375" customWidth="1"/>
    <col min="10" max="10" width="10.42578125" customWidth="1"/>
  </cols>
  <sheetData>
    <row r="1" spans="1:3" ht="21">
      <c r="A1" s="39" t="s">
        <v>813</v>
      </c>
    </row>
    <row r="3" spans="1:3" ht="18.75">
      <c r="A3" s="25" t="s">
        <v>814</v>
      </c>
    </row>
    <row r="5" spans="1:3">
      <c r="A5" s="41" t="s">
        <v>815</v>
      </c>
      <c r="B5" s="21">
        <f>MIN(Tableau13[Montant_TTC])</f>
        <v>15.2</v>
      </c>
    </row>
    <row r="6" spans="1:3">
      <c r="A6" t="s">
        <v>816</v>
      </c>
      <c r="B6" s="21">
        <f>MAX(Tableau13[Montant_TTC])</f>
        <v>379050</v>
      </c>
    </row>
    <row r="7" spans="1:3">
      <c r="A7" t="s">
        <v>817</v>
      </c>
      <c r="B7" s="21">
        <f>MAX(Tableau13[Montant_TTC]) - MIN(Tableau13[Montant_TTC])</f>
        <v>379034.8</v>
      </c>
      <c r="C7" s="38" t="s">
        <v>818</v>
      </c>
    </row>
    <row r="8" spans="1:3">
      <c r="A8" t="s">
        <v>819</v>
      </c>
      <c r="B8" s="21">
        <f>_xlfn.STDEV.S(Tableau13[Montant_TTC])</f>
        <v>15504.584444564851</v>
      </c>
    </row>
    <row r="9" spans="1:3">
      <c r="A9" s="42" t="s">
        <v>820</v>
      </c>
      <c r="B9" s="21">
        <f>_xlfn.STDEV.P(Tableau13[Montant_TTC])</f>
        <v>15491.932802764333</v>
      </c>
    </row>
    <row r="11" spans="1:3">
      <c r="A11" s="7" t="s">
        <v>821</v>
      </c>
      <c r="B11" s="7">
        <f>_xlfn.STDEV.S(Tableau13[Montant_TTC])/AVERAGE(Tableau13[Montant_TTC])</f>
        <v>9.2301696119582886</v>
      </c>
    </row>
    <row r="13" spans="1:3">
      <c r="A13" s="55" t="s">
        <v>822</v>
      </c>
    </row>
    <row r="14" spans="1:3">
      <c r="A14" t="s">
        <v>823</v>
      </c>
    </row>
    <row r="15" spans="1:3">
      <c r="A15" t="s">
        <v>824</v>
      </c>
    </row>
    <row r="16" spans="1:3">
      <c r="A16" t="s">
        <v>825</v>
      </c>
    </row>
    <row r="18" spans="1:3" ht="18.75">
      <c r="A18" s="25" t="s">
        <v>826</v>
      </c>
    </row>
    <row r="21" spans="1:3">
      <c r="B21" s="43" t="s">
        <v>827</v>
      </c>
      <c r="C21" s="44" t="s">
        <v>828</v>
      </c>
    </row>
    <row r="22" spans="1:3">
      <c r="A22" s="45" t="s">
        <v>829</v>
      </c>
      <c r="B22" s="48" t="s">
        <v>830</v>
      </c>
      <c r="C22" s="12">
        <f>COUNT(Tableau13[Montant_TTC])</f>
        <v>613</v>
      </c>
    </row>
    <row r="23" spans="1:3">
      <c r="A23" s="46" t="s">
        <v>831</v>
      </c>
      <c r="B23" s="49" t="s">
        <v>832</v>
      </c>
      <c r="C23" s="22">
        <f>MIN(Tableau13[Montant_TTC])</f>
        <v>15.2</v>
      </c>
    </row>
    <row r="24" spans="1:3">
      <c r="A24" s="46" t="s">
        <v>833</v>
      </c>
      <c r="B24" s="49" t="s">
        <v>834</v>
      </c>
      <c r="C24" s="22">
        <f>_xlfn.QUARTILE.INC(Tableau13[Montant_TTC],1)</f>
        <v>50.15</v>
      </c>
    </row>
    <row r="25" spans="1:3">
      <c r="A25" s="46" t="s">
        <v>835</v>
      </c>
      <c r="B25" s="49" t="s">
        <v>836</v>
      </c>
      <c r="C25" s="22">
        <f>MEDIAN(Tableau13[Montant_TTC])</f>
        <v>177</v>
      </c>
    </row>
    <row r="26" spans="1:3">
      <c r="A26" s="46" t="s">
        <v>837</v>
      </c>
      <c r="B26" s="49" t="s">
        <v>838</v>
      </c>
      <c r="C26" s="22">
        <f>_xlfn.QUARTILE.INC(Tableau13[Montant_TTC],3)</f>
        <v>1790</v>
      </c>
    </row>
    <row r="27" spans="1:3">
      <c r="A27" s="46" t="s">
        <v>839</v>
      </c>
      <c r="B27" s="49" t="s">
        <v>840</v>
      </c>
      <c r="C27" s="22">
        <f>MAX(Tableau13[Montant_TTC])</f>
        <v>379050</v>
      </c>
    </row>
    <row r="28" spans="1:3">
      <c r="A28" s="47" t="s">
        <v>841</v>
      </c>
      <c r="B28" s="49">
        <f>Q3-Q1</f>
        <v>0</v>
      </c>
      <c r="C28" s="22">
        <f>C26-C24</f>
        <v>1739.85</v>
      </c>
    </row>
    <row r="30" spans="1:3">
      <c r="A30" t="s">
        <v>842</v>
      </c>
    </row>
    <row r="31" spans="1:3">
      <c r="A31" t="s">
        <v>843</v>
      </c>
    </row>
    <row r="34" spans="1:8" ht="18.75">
      <c r="A34" s="25" t="s">
        <v>844</v>
      </c>
    </row>
    <row r="36" spans="1:8">
      <c r="A36" t="s">
        <v>845</v>
      </c>
      <c r="C36" s="40">
        <f>C24-1.5*C28</f>
        <v>-2559.6249999999995</v>
      </c>
    </row>
    <row r="37" spans="1:8">
      <c r="A37" t="s">
        <v>846</v>
      </c>
      <c r="C37" s="40">
        <f>C26+1.5*C28</f>
        <v>4399.7749999999996</v>
      </c>
    </row>
    <row r="38" spans="1:8">
      <c r="A38" t="s">
        <v>847</v>
      </c>
      <c r="C38">
        <f>COUNTIFS(Tableau13[Montant_TTC], "&gt;"&amp;C37)</f>
        <v>14</v>
      </c>
    </row>
    <row r="39" spans="1:8">
      <c r="A39" t="s">
        <v>848</v>
      </c>
      <c r="C39">
        <f>COUNTIFS(Tableau13[Montant_TTC], "&lt;"&amp;C36)</f>
        <v>0</v>
      </c>
    </row>
    <row r="41" spans="1:8">
      <c r="A41" t="s">
        <v>849</v>
      </c>
      <c r="B41" s="40">
        <f>LARGE(Tableau13[Montant_TTC], 1)</f>
        <v>379050</v>
      </c>
      <c r="D41" t="s">
        <v>651</v>
      </c>
      <c r="E41" s="54" t="s">
        <v>34</v>
      </c>
      <c r="F41" s="54" t="s">
        <v>48</v>
      </c>
      <c r="G41" s="54" t="s">
        <v>850</v>
      </c>
      <c r="H41" s="53" t="s">
        <v>38</v>
      </c>
    </row>
    <row r="42" spans="1:8">
      <c r="B42" s="40">
        <f>LARGE(Tableau13[Montant_TTC], 2)</f>
        <v>59415</v>
      </c>
      <c r="D42" s="50" t="s">
        <v>221</v>
      </c>
      <c r="E42" s="52" t="s">
        <v>54</v>
      </c>
      <c r="F42" s="52" t="s">
        <v>26</v>
      </c>
      <c r="G42" s="52">
        <v>100</v>
      </c>
      <c r="H42" s="52" t="s">
        <v>18</v>
      </c>
    </row>
    <row r="43" spans="1:8">
      <c r="B43" s="40">
        <f>LARGE(Tableau13[Montant_TTC], 3)</f>
        <v>7980</v>
      </c>
      <c r="D43" s="51" t="s">
        <v>419</v>
      </c>
      <c r="E43" s="53" t="s">
        <v>44</v>
      </c>
      <c r="F43" s="53" t="s">
        <v>48</v>
      </c>
      <c r="G43" s="53">
        <v>2</v>
      </c>
      <c r="H43" s="53" t="s">
        <v>18</v>
      </c>
    </row>
    <row r="44" spans="1:8">
      <c r="B44" s="40">
        <f>LARGE(Tableau13[Montant_TTC], 4)</f>
        <v>7980</v>
      </c>
    </row>
    <row r="45" spans="1:8">
      <c r="B45" s="40">
        <f>LARGE(Tableau13[Montant_TTC], 5)</f>
        <v>7980</v>
      </c>
    </row>
    <row r="48" spans="1:8">
      <c r="A48" s="55" t="s">
        <v>851</v>
      </c>
    </row>
    <row r="49" spans="1:7">
      <c r="A49" t="s">
        <v>852</v>
      </c>
    </row>
    <row r="50" spans="1:7">
      <c r="A50" s="70" t="s">
        <v>853</v>
      </c>
    </row>
    <row r="51" spans="1:7">
      <c r="A51" s="56" t="s">
        <v>854</v>
      </c>
    </row>
    <row r="53" spans="1:7">
      <c r="A53" s="55" t="s">
        <v>855</v>
      </c>
    </row>
    <row r="54" spans="1:7">
      <c r="A54" t="s">
        <v>856</v>
      </c>
    </row>
    <row r="57" spans="1:7" ht="18.75">
      <c r="A57" s="25" t="s">
        <v>857</v>
      </c>
    </row>
    <row r="59" spans="1:7">
      <c r="A59" s="30" t="s">
        <v>858</v>
      </c>
      <c r="B59" s="30" t="s">
        <v>859</v>
      </c>
      <c r="C59" s="30" t="s">
        <v>860</v>
      </c>
      <c r="D59" s="72" t="s">
        <v>861</v>
      </c>
    </row>
    <row r="60" spans="1:7">
      <c r="A60" s="7" t="s">
        <v>752</v>
      </c>
      <c r="B60" s="57">
        <v>1679.77</v>
      </c>
      <c r="C60" s="71">
        <f>AVERAGEIFS(Tableau13[Montant_TTC], Tableau13[ID_commande], "&lt;&gt;CMD-20250566")</f>
        <v>1063.1544117647054</v>
      </c>
      <c r="D60" s="58">
        <f>(C60-B60)/B60</f>
        <v>-0.36708334369306189</v>
      </c>
    </row>
    <row r="61" spans="1:7">
      <c r="A61" s="7" t="s">
        <v>835</v>
      </c>
      <c r="B61" s="57">
        <f>C25</f>
        <v>177</v>
      </c>
      <c r="C61" s="68" cm="1">
        <f t="array" ref="C61">MEDIAN(_xlfn._xlws.FILTER(Tableau13[Montant_TTC],Tableau13[ID_commande]&lt;&gt;"CMD-20250566",""))</f>
        <v>177</v>
      </c>
      <c r="D61" s="58">
        <f t="shared" ref="D61:D63" si="0">(C61-B61)/B61</f>
        <v>0</v>
      </c>
    </row>
    <row r="62" spans="1:7">
      <c r="A62" s="7" t="s">
        <v>862</v>
      </c>
      <c r="B62" s="57">
        <f>B8</f>
        <v>15504.584444564851</v>
      </c>
      <c r="C62" s="71" t="s">
        <v>863</v>
      </c>
      <c r="D62" s="58" t="e">
        <f t="shared" si="0"/>
        <v>#VALUE!</v>
      </c>
      <c r="F62" t="s">
        <v>864</v>
      </c>
    </row>
    <row r="63" spans="1:7">
      <c r="A63" s="7" t="s">
        <v>841</v>
      </c>
      <c r="B63" s="57">
        <f>C28</f>
        <v>1739.85</v>
      </c>
      <c r="C63" s="73" cm="1">
        <f t="array" ref="C63">(_xlfn.QUARTILE.INC(_xlfn._xlws.FILTER(Tableau13[Montant_TTC],Tableau13[ID_commande]&lt;&gt;"CMD-20250566",""),3))-(_xlfn.QUARTILE.INC(_xlfn._xlws.FILTER(Tableau13[Montant_TTC],Tableau13[ID_commande]&lt;&gt;"CMD-20250566",""),1))</f>
        <v>1673.1</v>
      </c>
      <c r="D63" s="58">
        <f t="shared" si="0"/>
        <v>-3.8365376325545306E-2</v>
      </c>
      <c r="G63" t="s">
        <v>865</v>
      </c>
    </row>
    <row r="65" spans="1:13">
      <c r="A65" s="55" t="s">
        <v>866</v>
      </c>
    </row>
    <row r="66" spans="1:13">
      <c r="A66" s="54" t="s">
        <v>867</v>
      </c>
    </row>
    <row r="69" spans="1:13" ht="18.75">
      <c r="A69" s="25" t="s">
        <v>868</v>
      </c>
    </row>
    <row r="70" spans="1:13">
      <c r="A70" t="s">
        <v>869</v>
      </c>
    </row>
    <row r="73" spans="1:13" ht="18.75">
      <c r="A73" s="25" t="s">
        <v>870</v>
      </c>
    </row>
    <row r="75" spans="1:13">
      <c r="A75" s="7" t="s">
        <v>2</v>
      </c>
      <c r="B75" s="7" t="s">
        <v>871</v>
      </c>
      <c r="C75" s="7" t="s">
        <v>872</v>
      </c>
      <c r="D75" s="7" t="s">
        <v>873</v>
      </c>
      <c r="M75" s="65" t="s">
        <v>38</v>
      </c>
    </row>
    <row r="76" spans="1:13">
      <c r="A76" s="7" t="str" cm="1">
        <f t="array" ref="A76:A83">_xlfn.UNIQUE(Tableau13[Magasin])</f>
        <v>Arras</v>
      </c>
      <c r="B76" s="22">
        <f>SUMIFS(Tableau13[Montant_TTC], Tableau13[Magasin], "Arras")</f>
        <v>442616.80000000005</v>
      </c>
      <c r="C76" s="22">
        <f>SUMIFS(Tableau13[Montant_TTC], Tableau13[Magasin], "Arras", Tableau13[Statut], "Livrée")</f>
        <v>29214.800000000007</v>
      </c>
      <c r="D76" s="22">
        <v>90</v>
      </c>
      <c r="F76" t="s">
        <v>874</v>
      </c>
      <c r="M76" s="66">
        <f>SUMIFS(Tableau13[Montant_TTC], Tableau13[Magasin], A76, Tableau13[Statut], "Annulée")</f>
        <v>392145.75</v>
      </c>
    </row>
    <row r="77" spans="1:13">
      <c r="A77" s="7" t="str">
        <v>Lens</v>
      </c>
      <c r="B77" s="22">
        <f>SUMIFS(Tableau13[Montant_TTC], Tableau13[Magasin], "Lens")</f>
        <v>144276.20000000004</v>
      </c>
      <c r="C77" s="22">
        <f>SUMIFS(Tableau13[Montant_TTC], Tableau13[Magasin], "Lens", Tableau13[Statut], "Livrée")</f>
        <v>56878.5</v>
      </c>
      <c r="D77" s="22">
        <v>549</v>
      </c>
      <c r="G77" s="38" t="s">
        <v>875</v>
      </c>
      <c r="M77" s="66">
        <f>SUMIFS(Tableau13[Montant_TTC], Tableau13[Magasin], A77, Tableau13[Statut], "Annulée")</f>
        <v>12432.900000000001</v>
      </c>
    </row>
    <row r="78" spans="1:13">
      <c r="A78" s="7" t="str">
        <v>Beauvais</v>
      </c>
      <c r="B78" s="22">
        <f>SUMIFS(Tableau13[Montant_TTC], Tableau13[Magasin], "Beauvais")</f>
        <v>72294.500000000015</v>
      </c>
      <c r="C78" s="22">
        <f>SUMIFS(Tableau13[Montant_TTC], Tableau13[Magasin], "Beauvais", Tableau13[Statut], "Livrée")</f>
        <v>42822.099999999991</v>
      </c>
      <c r="D78" s="22">
        <v>207</v>
      </c>
      <c r="F78" t="s">
        <v>876</v>
      </c>
      <c r="M78" s="66">
        <f>SUMIFS(Tableau13[Montant_TTC], Tableau13[Magasin], A78, Tableau13[Statut], "Annulée")</f>
        <v>3293</v>
      </c>
    </row>
    <row r="79" spans="1:13">
      <c r="A79" s="7" t="str">
        <v>Lille</v>
      </c>
      <c r="B79" s="22">
        <f>SUMIFS(Tableau13[Montant_TTC], Tableau13[Magasin], "Lille")</f>
        <v>82683.349999999991</v>
      </c>
      <c r="C79" s="22">
        <f>SUMIFS(Tableau13[Montant_TTC], Tableau13[Magasin], "Lille", Tableau13[Statut], "Livrée")</f>
        <v>47768.75</v>
      </c>
      <c r="D79" s="22">
        <v>549</v>
      </c>
      <c r="G79" s="54" t="s">
        <v>877</v>
      </c>
      <c r="M79" s="66">
        <f>SUMIFS(Tableau13[Montant_TTC], Tableau13[Magasin], A79, Tableau13[Statut], "Annulée")</f>
        <v>22957.7</v>
      </c>
    </row>
    <row r="80" spans="1:13">
      <c r="A80" s="7" t="str">
        <v>Amiens</v>
      </c>
      <c r="B80" s="22">
        <f>SUMIFS(Tableau13[Montant_TTC], Tableau13[Magasin], "Amiens")</f>
        <v>85184.1</v>
      </c>
      <c r="C80" s="22">
        <f>SUMIFS(Tableau13[Montant_TTC], Tableau13[Magasin], "Amiens", Tableau13[Statut], "Livrée")</f>
        <v>47930.05</v>
      </c>
      <c r="D80" s="22">
        <v>507.82499999999999</v>
      </c>
      <c r="G80">
        <f>_xlfn.AGGREGATE(12, 5, Tableau13[Montant_TTC])</f>
        <v>177</v>
      </c>
      <c r="M80" s="66">
        <f>SUMIFS(Tableau13[Montant_TTC], Tableau13[Magasin], A80, Tableau13[Statut], "Annulée")</f>
        <v>14760.200000000003</v>
      </c>
    </row>
    <row r="81" spans="1:13">
      <c r="A81" s="7" t="str">
        <v>Roubaix</v>
      </c>
      <c r="B81" s="22">
        <f>SUMIFS(Tableau13[Montant_TTC], Tableau13[Magasin], "Roubaix")</f>
        <v>59059.350000000013</v>
      </c>
      <c r="C81" s="22">
        <f>SUMIFS(Tableau13[Montant_TTC], Tableau13[Magasin], "Roubaix", Tableau13[Statut], "Livrée")</f>
        <v>29543.499999999996</v>
      </c>
      <c r="D81" s="22">
        <v>101.5</v>
      </c>
      <c r="M81" s="66">
        <f>SUMIFS(Tableau13[Montant_TTC], Tableau13[Magasin], A81, Tableau13[Statut], "Annulée")</f>
        <v>4764.4500000000007</v>
      </c>
    </row>
    <row r="82" spans="1:13">
      <c r="A82" s="7" t="str">
        <v>Valenciennes</v>
      </c>
      <c r="B82" s="22">
        <f>SUMIFS(Tableau13[Montant_TTC], Tableau13[Magasin], "Valenciennes")</f>
        <v>71647.199999999983</v>
      </c>
      <c r="C82" s="22">
        <f>SUMIFS(Tableau13[Montant_TTC], Tableau13[Magasin], "Valenciennes", Tableau13[Statut], "Livrée")</f>
        <v>36357.35</v>
      </c>
      <c r="D82" s="22">
        <v>92.2</v>
      </c>
      <c r="M82" s="66">
        <f>SUMIFS(Tableau13[Montant_TTC], Tableau13[Magasin], A82, Tableau13[Statut], "Annulée")</f>
        <v>12795.75</v>
      </c>
    </row>
    <row r="83" spans="1:13">
      <c r="A83" s="7" t="str">
        <v>Dunkerque</v>
      </c>
      <c r="B83" s="22">
        <f>SUMIFS(Tableau13[Montant_TTC], Tableau13[Magasin], "Dunkerque")</f>
        <v>71939.000000000015</v>
      </c>
      <c r="C83" s="22">
        <f>SUMIFS(Tableau13[Montant_TTC], Tableau13[Magasin], "Dunkerque", Tableau13[Statut], "Livrée")</f>
        <v>53362.400000000009</v>
      </c>
      <c r="D83" s="22">
        <v>549</v>
      </c>
      <c r="M83" s="67">
        <f>SUMIFS(Tableau13[Montant_TTC], Tableau13[Magasin], A83, Tableau13[Statut], "Annulée")</f>
        <v>10829.4</v>
      </c>
    </row>
    <row r="84" spans="1:13">
      <c r="G84" t="s">
        <v>878</v>
      </c>
      <c r="H84" s="40">
        <f>SUM(B76:B83)</f>
        <v>1029700.5</v>
      </c>
    </row>
    <row r="87" spans="1:13">
      <c r="A87" s="55" t="s">
        <v>879</v>
      </c>
    </row>
    <row r="88" spans="1:13">
      <c r="A88" t="s">
        <v>880</v>
      </c>
    </row>
    <row r="89" spans="1:13">
      <c r="A89" s="69" t="s">
        <v>881</v>
      </c>
    </row>
    <row r="91" spans="1:13">
      <c r="J91" s="59" t="s">
        <v>38</v>
      </c>
      <c r="K91" s="60">
        <f>SUMIFS(Tableau13[Montant_TTC], Tableau13[Magasin], "Arras", Tableau13[Statut], "Annulée")</f>
        <v>392145.75</v>
      </c>
    </row>
    <row r="92" spans="1:13">
      <c r="J92" s="61" t="s">
        <v>18</v>
      </c>
      <c r="K92" s="62">
        <f>SUMIFS(Tableau13[Montant_TTC], Tableau13[Magasin], "Arras", Tableau13[Statut], "En cours")</f>
        <v>7828.85</v>
      </c>
    </row>
    <row r="93" spans="1:13">
      <c r="J93" s="63" t="s">
        <v>51</v>
      </c>
      <c r="K93" s="64">
        <f>SUMIFS(Tableau13[Montant_TTC], Tableau13[Magasin], "Arras", Tableau13[Statut], "Retournée")</f>
        <v>13427.400000000001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AEF3-895F-4D6F-889A-081BF6A1D044}">
  <dimension ref="A1:A6"/>
  <sheetViews>
    <sheetView workbookViewId="0">
      <selection activeCell="A7" sqref="A7"/>
    </sheetView>
  </sheetViews>
  <sheetFormatPr defaultRowHeight="15"/>
  <sheetData>
    <row r="1" spans="1:1">
      <c r="A1" t="s">
        <v>882</v>
      </c>
    </row>
    <row r="3" spans="1:1">
      <c r="A3" t="s">
        <v>883</v>
      </c>
    </row>
    <row r="4" spans="1:1">
      <c r="A4" t="s">
        <v>884</v>
      </c>
    </row>
    <row r="5" spans="1:1">
      <c r="A5" t="s">
        <v>885</v>
      </c>
    </row>
    <row r="6" spans="1:1">
      <c r="A6" t="s">
        <v>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2026-09-17T22:35:06Z</dcterms:created>
  <dcterms:modified xsi:type="dcterms:W3CDTF">2026-09-23T14:49:07Z</dcterms:modified>
  <cp:category/>
  <cp:contentStatus/>
</cp:coreProperties>
</file>